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Sipariş listesi" sheetId="2" state="visible" r:id="rId4"/>
    <sheet name="Güç bütçesi" sheetId="3" state="visible" r:id="rId5"/>
    <sheet name="Notlar" sheetId="4" state="visible" r:id="rId6"/>
  </sheets>
  <definedNames>
    <definedName function="false" hidden="false" localSheetId="0" name="_xlnm.Print_Titles" vbProcedure="false">BOM!$4:$4</definedName>
    <definedName function="false" hidden="true" localSheetId="0" name="_xlnm._FilterDatabase" vbProcedure="false">BOM!$A$4:$J$63</definedName>
    <definedName function="false" hidden="false" localSheetId="2" name="_xlnm.Print_Titles" vbProcedure="false">'Güç bütçesi'!$4:$4</definedName>
    <definedName function="false" hidden="false" localSheetId="1" name="_xlnm.Print_Titles" vbProcedure="false">'Sipariş listesi'!$4:$4</definedName>
    <definedName function="false" hidden="true" localSheetId="1" name="_xlnm._FilterDatabase" vbProcedure="false">'Sipariş listesi'!$A$4:$J$58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J4" authorId="0">
      <text>
        <r>
          <rPr>
            <sz val="10"/>
            <rFont val="Arial"/>
            <family val="2"/>
          </rPr>
          <t xml:space="preserve">Sipariş listesi bu sütuna göre gruplanır (SUMIFS).</t>
        </r>
      </text>
    </comment>
  </commentList>
</comments>
</file>

<file path=xl/sharedStrings.xml><?xml version="1.0" encoding="utf-8"?>
<sst xmlns="http://schemas.openxmlformats.org/spreadsheetml/2006/main" count="756" uniqueCount="299">
  <si>
    <t xml:space="preserve">CC-BOM-01 · Kulübe İklim Kontrolörü · Malzeme Listesi · rev A · 28.10.2026</t>
  </si>
  <si>
    <t xml:space="preserve">Kaynak: docs/hardware/CC-BOM-01.md (CC-SCH-01 rev B + F2.4 WS2812B şeridi, src/app/pins.h). 230 V parçaların kurulumu ve enerjilendirmesi yetkili elektrikçi işidir.</t>
  </si>
  <si>
    <t xml:space="preserve">No</t>
  </si>
  <si>
    <t xml:space="preserve">Grup</t>
  </si>
  <si>
    <t xml:space="preserve">Ref.</t>
  </si>
  <si>
    <t xml:space="preserve">Parça / değer</t>
  </si>
  <si>
    <t xml:space="preserve">Kılıf / anma</t>
  </si>
  <si>
    <t xml:space="preserve">Görev / not</t>
  </si>
  <si>
    <t xml:space="preserve">Adet</t>
  </si>
  <si>
    <t xml:space="preserve">Birim</t>
  </si>
  <si>
    <t xml:space="preserve">Kapsam</t>
  </si>
  <si>
    <t xml:space="preserve">Sipariş kalemi</t>
  </si>
  <si>
    <t xml:space="preserve">1.1 Mantık kartı</t>
  </si>
  <si>
    <t xml:space="preserve">U1</t>
  </si>
  <si>
    <t xml:space="preserve">Mean Well IRM-10-5</t>
  </si>
  <si>
    <t xml:space="preserve">PCB modül, 5 V 2 A 10 W</t>
  </si>
  <si>
    <t xml:space="preserve">AC/DC besleme, çift izolasyonlu (Class II); girişi Sayfa 2 F1 sonrası</t>
  </si>
  <si>
    <t xml:space="preserve">adet</t>
  </si>
  <si>
    <t xml:space="preserve">Zorunlu</t>
  </si>
  <si>
    <t xml:space="preserve">U2</t>
  </si>
  <si>
    <t xml:space="preserve">ESP32 DevKit V1 (DOIT, 30 pin)</t>
  </si>
  <si>
    <t xml:space="preserve">ESP32-WROOM-32, 4 MB flash, PSRAM yok</t>
  </si>
  <si>
    <t xml:space="preserve">MCU; kart üstü AMS1117 3.3 V, USB-UART, BOOT (GPIO0), mavi LED (GPIO2)</t>
  </si>
  <si>
    <t xml:space="preserve">U3</t>
  </si>
  <si>
    <t xml:space="preserve">2 kanal 5 V röle modülü</t>
  </si>
  <si>
    <t xml:space="preserve">Optokuplörlü, JD-VCC jumper'lı; SRD-05VDC-SL-C, kontak 10 A 250 VAC</t>
  </si>
  <si>
    <t xml:space="preserve">HF (IN1, GPIO32) ve VF (IN2, GPIO33), aktif-LOW. Jumper SÖKÜLÜ: VCC = 3.3 V, JD-VCC = 5 V</t>
  </si>
  <si>
    <t xml:space="preserve">B1</t>
  </si>
  <si>
    <t xml:space="preserve">DHT22 / AM2302</t>
  </si>
  <si>
    <t xml:space="preserve">3.3–5 V, tek hat</t>
  </si>
  <si>
    <t xml:space="preserve">T1 + RH1 sensörü, GPIO4</t>
  </si>
  <si>
    <t xml:space="preserve">Q1, Q2</t>
  </si>
  <si>
    <t xml:space="preserve">BC337-40</t>
  </si>
  <si>
    <t xml:space="preserve">NPN, TO-92, 45 V 800 mA</t>
  </si>
  <si>
    <t xml:space="preserve">SSR1/SSR2 low-side sürücü</t>
  </si>
  <si>
    <t xml:space="preserve">Transistör BC337-40</t>
  </si>
  <si>
    <t xml:space="preserve">D1</t>
  </si>
  <si>
    <t xml:space="preserve">SS34</t>
  </si>
  <si>
    <t xml:space="preserve">Schottky 3 A 40 V, SMA</t>
  </si>
  <si>
    <t xml:space="preserve">USB bağlıyken U1'e geri beslemeyi engeller. Delikli kartta eşdeğer: 1N5822</t>
  </si>
  <si>
    <t xml:space="preserve">Diyot SS34 (veya 1N5822)</t>
  </si>
  <si>
    <t xml:space="preserve">R1</t>
  </si>
  <si>
    <t xml:space="preserve">4.7 kΩ</t>
  </si>
  <si>
    <t xml:space="preserve">¼ W %1</t>
  </si>
  <si>
    <t xml:space="preserve">DHT22 DATA pull-up → 3.3 V</t>
  </si>
  <si>
    <t xml:space="preserve">Direnç 4.7 kΩ ¼ W %1</t>
  </si>
  <si>
    <t xml:space="preserve">R2</t>
  </si>
  <si>
    <t xml:space="preserve">100 Ω</t>
  </si>
  <si>
    <t xml:space="preserve">¼ W</t>
  </si>
  <si>
    <t xml:space="preserve">DATA seri koruma</t>
  </si>
  <si>
    <t xml:space="preserve">Direnç 100 Ω ¼ W</t>
  </si>
  <si>
    <t xml:space="preserve">R3, R5</t>
  </si>
  <si>
    <t xml:space="preserve">1 kΩ</t>
  </si>
  <si>
    <t xml:space="preserve">Q1/Q2 taban direnci</t>
  </si>
  <si>
    <t xml:space="preserve">Direnç 1 kΩ ¼ W</t>
  </si>
  <si>
    <t xml:space="preserve">R4, R6</t>
  </si>
  <si>
    <t xml:space="preserve">10 kΩ</t>
  </si>
  <si>
    <t xml:space="preserve">Taban pull-down: reset/boot anında SSR kapalı</t>
  </si>
  <si>
    <t xml:space="preserve">Direnç 10 kΩ ¼ W</t>
  </si>
  <si>
    <t xml:space="preserve">R7, R8</t>
  </si>
  <si>
    <t xml:space="preserve">Röle IN pull-up → 3.3 V: reset/boot anında röle bırakılmış</t>
  </si>
  <si>
    <t xml:space="preserve">C1</t>
  </si>
  <si>
    <t xml:space="preserve">470 µF 16 V</t>
  </si>
  <si>
    <t xml:space="preserve">Elektrolitik, 105 °C</t>
  </si>
  <si>
    <t xml:space="preserve">+5V tamponu (D1 çıkışı)</t>
  </si>
  <si>
    <t xml:space="preserve">Kondansatör 470 µF 16 V elektrolitik</t>
  </si>
  <si>
    <t xml:space="preserve">C2, C4, C5</t>
  </si>
  <si>
    <t xml:space="preserve">100 nF 50 V</t>
  </si>
  <si>
    <t xml:space="preserve">Seramik X7R</t>
  </si>
  <si>
    <t xml:space="preserve">C2 +5V; C4 U3 VCC pinine yakın; C5 sensör ucunda, B1 VCC–GND</t>
  </si>
  <si>
    <t xml:space="preserve">Kondansatör 100 nF 50 V X7R</t>
  </si>
  <si>
    <t xml:space="preserve">C3</t>
  </si>
  <si>
    <t xml:space="preserve">10 µF 16 V</t>
  </si>
  <si>
    <t xml:space="preserve">Seramik X5R veya tantal</t>
  </si>
  <si>
    <t xml:space="preserve">U3 VCC dekuplajı</t>
  </si>
  <si>
    <t xml:space="preserve">Kondansatör 10 µF 16 V</t>
  </si>
  <si>
    <t xml:space="preserve">J1</t>
  </si>
  <si>
    <t xml:space="preserve">4 pin klemens / JST-XH</t>
  </si>
  <si>
    <t xml:space="preserve">1 VCC · 2 DATA · 3 NC · 4 GND</t>
  </si>
  <si>
    <t xml:space="preserve">DHT22 kablosu</t>
  </si>
  <si>
    <t xml:space="preserve">Klemens 4 pin</t>
  </si>
  <si>
    <t xml:space="preserve">J2, J3</t>
  </si>
  <si>
    <t xml:space="preserve">2 pin klemens</t>
  </si>
  <si>
    <t xml:space="preserve">5.08 mm</t>
  </si>
  <si>
    <t xml:space="preserve">SSR1/SSR2 girişi (A1+ / A2−)</t>
  </si>
  <si>
    <t xml:space="preserve">Klemens 2 pin</t>
  </si>
  <si>
    <t xml:space="preserve">—</t>
  </si>
  <si>
    <t xml:space="preserve">470 Ω</t>
  </si>
  <si>
    <t xml:space="preserve">Yedek: 3.3 V sürüşte röle çekmezse U3'teki 1 kΩ opto direncinin yerine (CC-SCH-01 not 1)</t>
  </si>
  <si>
    <t xml:space="preserve">İsteğe bağlı</t>
  </si>
  <si>
    <t xml:space="preserve">Direnç 470 Ω ¼ W</t>
  </si>
  <si>
    <t xml:space="preserve">1.2 WS2812B şerit</t>
  </si>
  <si>
    <t xml:space="preserve">LS1</t>
  </si>
  <si>
    <t xml:space="preserve">WS2812B şerit, 6 LED</t>
  </si>
  <si>
    <t xml:space="preserve">5 V; 60 LED/m şeritten 6 LED'lik parça (≈ 10 cm) veya 6 modül zinciri</t>
  </si>
  <si>
    <t xml:space="preserve">LED1 durum · LED2 ağ · LED3 MQTT · LED4 mDNS · LED5 ısıtma · LED6 fan</t>
  </si>
  <si>
    <t xml:space="preserve">U4</t>
  </si>
  <si>
    <t xml:space="preserve">74AHCT1G125</t>
  </si>
  <si>
    <t xml:space="preserve">SOT-23-5. Delikli kartta eşdeğer: 74HCT125N veya 74AHCT125N (DIP-14); 74HC125 olmaz</t>
  </si>
  <si>
    <t xml:space="preserve">3.3 V → 5 V seviye çevirici; OE → GND, VCC = +5V</t>
  </si>
  <si>
    <t xml:space="preserve">Önerilen</t>
  </si>
  <si>
    <t xml:space="preserve">Seviye çevirici 74AHCT1G125 (veya 74HCT125N / 74AHCT125N)</t>
  </si>
  <si>
    <t xml:space="preserve">R13</t>
  </si>
  <si>
    <t xml:space="preserve">330 Ω</t>
  </si>
  <si>
    <t xml:space="preserve">U4 çıkışı (U4 yoksa GPIO27) → R13 → DIN; şeride yakın</t>
  </si>
  <si>
    <t xml:space="preserve">Direnç 330 Ω ¼ W</t>
  </si>
  <si>
    <t xml:space="preserve">C8</t>
  </si>
  <si>
    <t xml:space="preserve">Elektrolitik</t>
  </si>
  <si>
    <t xml:space="preserve">Şerit girişinde +5V–GND</t>
  </si>
  <si>
    <t xml:space="preserve">C9</t>
  </si>
  <si>
    <t xml:space="preserve">C10</t>
  </si>
  <si>
    <t xml:space="preserve">U4 VCC dekuplajı (yalnız U4 varsa)</t>
  </si>
  <si>
    <t xml:space="preserve">J4</t>
  </si>
  <si>
    <t xml:space="preserve">3 pin klemens / JST-XH</t>
  </si>
  <si>
    <t xml:space="preserve">+5V · DIN · GND</t>
  </si>
  <si>
    <t xml:space="preserve">Şerit bağlantısı</t>
  </si>
  <si>
    <t xml:space="preserve">Klemens 3 pin</t>
  </si>
  <si>
    <t xml:space="preserve">1.3 Kart montajı</t>
  </si>
  <si>
    <t xml:space="preserve">Delikli pertinaks / prototip kartı</t>
  </si>
  <si>
    <t xml:space="preserve">Çift yüz, ör. 9 × 15 cm</t>
  </si>
  <si>
    <t xml:space="preserve">U1 şebeke pinleri ile SELV arasında ≥ 6 mm açıklık (CC-SCH-01 not 4)</t>
  </si>
  <si>
    <t xml:space="preserve">Dişi pin header 1 × 15</t>
  </si>
  <si>
    <t xml:space="preserve">2.54 mm</t>
  </si>
  <si>
    <t xml:space="preserve">DevKit V1 soketi</t>
  </si>
  <si>
    <t xml:space="preserve">M3 ara parça + vida/somun</t>
  </si>
  <si>
    <t xml:space="preserve">Kart montajı</t>
  </si>
  <si>
    <t xml:space="preserve">takım</t>
  </si>
  <si>
    <t xml:space="preserve">2 Şebeke tarafı</t>
  </si>
  <si>
    <t xml:space="preserve">X1</t>
  </si>
  <si>
    <t xml:space="preserve">Giriş klemensi L / N / PE</t>
  </si>
  <si>
    <t xml:space="preserve">DIN ray, 2.5 mm²; PE yeşil-sarı</t>
  </si>
  <si>
    <t xml:space="preserve">Şebeke girişi (3 kutup)</t>
  </si>
  <si>
    <t xml:space="preserve">QF1</t>
  </si>
  <si>
    <t xml:space="preserve">RCBO 1P+N C16, 30 mA, tip A</t>
  </si>
  <si>
    <t xml:space="preserve">DIN ray</t>
  </si>
  <si>
    <t xml:space="preserve">Ana aşırı akım + kaçak akım koruması; sonrası toplam ≈ 9.2 A</t>
  </si>
  <si>
    <t xml:space="preserve">F1</t>
  </si>
  <si>
    <t xml:space="preserve">Sigorta T 1 A 5×20 mm + DIN ray yuvası</t>
  </si>
  <si>
    <t xml:space="preserve">250 V</t>
  </si>
  <si>
    <t xml:space="preserve">U1 beslemesi</t>
  </si>
  <si>
    <t xml:space="preserve">F2</t>
  </si>
  <si>
    <t xml:space="preserve">MCB 1P C10</t>
  </si>
  <si>
    <t xml:space="preserve">Rezistans dalı (2 × 4.35 A)</t>
  </si>
  <si>
    <t xml:space="preserve">F3</t>
  </si>
  <si>
    <t xml:space="preserve">STB güvenlik termostatı</t>
  </si>
  <si>
    <t xml:space="preserve">Elle resetli, 16 A 250 VAC, ≈ 70 °C; kapiler hazneli veya elle resetli bimetal (KSD301 tipi, 16 A)</t>
  </si>
  <si>
    <t xml:space="preserve">Rezistans dalına seri, yazılımdan bağımsız; algılayıcı ısıtıcı çıkış havasında (CC-SCH-01 not 7)</t>
  </si>
  <si>
    <t xml:space="preserve">F4</t>
  </si>
  <si>
    <t xml:space="preserve">Sigorta T 2 A 5×20 mm + DIN ray yuvası</t>
  </si>
  <si>
    <t xml:space="preserve">Fan dalı</t>
  </si>
  <si>
    <t xml:space="preserve">SSR1, SSR2</t>
  </si>
  <si>
    <t xml:space="preserve">Sıfır geçişli SSR 25 A</t>
  </si>
  <si>
    <t xml:space="preserve">Giriş 3–32 VDC, çıkış ≥ 240 VAC; ör. Crydom D2425, Carlo Gavazzi RM1A23D25</t>
  </si>
  <si>
    <t xml:space="preserve">R1/R2 rezistans anahtarı (SSR_ZC). Ucuz "SSR-25DA" kopyalarından kaçının: tipik arıza modu kısa devredir, ARM hattı yoktur</t>
  </si>
  <si>
    <t xml:space="preserve">SSR soğutucusu</t>
  </si>
  <si>
    <t xml:space="preserve">Rth ≤ 3 K/W, termal macun veya ped ile</t>
  </si>
  <si>
    <t xml:space="preserve">SSR başına ≈ 5–6 W kayıp (4.35 A); rezistans hava akışının dışında</t>
  </si>
  <si>
    <t xml:space="preserve">RV1, RV2</t>
  </si>
  <si>
    <t xml:space="preserve">S14K275 varistör</t>
  </si>
  <si>
    <t xml:space="preserve">275 VAC, 14 mm disk (TDK/EPCOS SIOV)</t>
  </si>
  <si>
    <t xml:space="preserve">SSR çıkışına paralel aşırı gerilim koruması</t>
  </si>
  <si>
    <t xml:space="preserve">Varistör S14K275</t>
  </si>
  <si>
    <t xml:space="preserve">R11, R12</t>
  </si>
  <si>
    <t xml:space="preserve">1 W, darbe dayanımlı</t>
  </si>
  <si>
    <t xml:space="preserve">Fan RC snubber direnci</t>
  </si>
  <si>
    <t xml:space="preserve">Direnç 100 Ω 1 W</t>
  </si>
  <si>
    <t xml:space="preserve">C6, C7</t>
  </si>
  <si>
    <t xml:space="preserve">100 nF X2</t>
  </si>
  <si>
    <t xml:space="preserve">275 VAC, MKP</t>
  </si>
  <si>
    <t xml:space="preserve">Fan RC snubber kondansatörü</t>
  </si>
  <si>
    <t xml:space="preserve">Kondansatör 100 nF X2 275 VAC</t>
  </si>
  <si>
    <t xml:space="preserve">E1, E2</t>
  </si>
  <si>
    <t xml:space="preserve">Rezistans 1000 W 230 V</t>
  </si>
  <si>
    <t xml:space="preserve">Ör. kanatlı boru rezistans; metal gövde PE terminalli</t>
  </si>
  <si>
    <t xml:space="preserve">R1 / R2 ısıtıcı (4.35 A)</t>
  </si>
  <si>
    <t xml:space="preserve">M1</t>
  </si>
  <si>
    <t xml:space="preserve">Fan 230 VAC (Heater Fan)</t>
  </si>
  <si>
    <t xml:space="preserve">Tip ve debi açık konu (OI-H5)</t>
  </si>
  <si>
    <t xml:space="preserve">Rezistans üzerinden üfleme; U3 K1 kontağı</t>
  </si>
  <si>
    <t xml:space="preserve">M2</t>
  </si>
  <si>
    <t xml:space="preserve">Fan 230 VAC (Ventilation Fan)</t>
  </si>
  <si>
    <t xml:space="preserve">Kulübe havalandırması; U3 K2 kontağı</t>
  </si>
  <si>
    <t xml:space="preserve">3 Pano ve kurulum</t>
  </si>
  <si>
    <t xml:space="preserve">Pano</t>
  </si>
  <si>
    <t xml:space="preserve">Metal, PE terminalli, en az IP54, DIN ray montaj plakalı; ör. 300 × 400 × 150 mm</t>
  </si>
  <si>
    <t xml:space="preserve">SSR soğutucuları ve mantık kartı için yer</t>
  </si>
  <si>
    <t xml:space="preserve">DIN ray TS35</t>
  </si>
  <si>
    <t xml:space="preserve">m</t>
  </si>
  <si>
    <t xml:space="preserve">PE barası</t>
  </si>
  <si>
    <t xml:space="preserve">≥ 6 çıkış</t>
  </si>
  <si>
    <t xml:space="preserve">Pano, E1/E2 ve M1/M2 gövdeleri tek baraya yıldız bağlanır</t>
  </si>
  <si>
    <t xml:space="preserve">Ray klemensi 2.5 mm²</t>
  </si>
  <si>
    <t xml:space="preserve">Geçiş (gri/mavi) ve PE (yeşil-sarı), köprü elemanlarıyla</t>
  </si>
  <si>
    <t xml:space="preserve">E1, E2, M1, M2 çıkışları (L/N/PE) ve N dağıtımı; ≈ 12–16, yerleşime göre</t>
  </si>
  <si>
    <t xml:space="preserve">Kablo rakoru M20</t>
  </si>
  <si>
    <t xml:space="preserve">Şebeke, rezistans ve fan kabloları</t>
  </si>
  <si>
    <t xml:space="preserve">Kablo rakoru M16</t>
  </si>
  <si>
    <t xml:space="preserve">Kablo 1.5 mm²</t>
  </si>
  <si>
    <t xml:space="preserve">H05VV-F / H07V-K</t>
  </si>
  <si>
    <t xml:space="preserve">Giriş ve rezistans dalı (CC-SCH-01 not 5)</t>
  </si>
  <si>
    <t xml:space="preserve">m (g.k.)</t>
  </si>
  <si>
    <t xml:space="preserve">Kablo 0.75 mm²</t>
  </si>
  <si>
    <t xml:space="preserve">Kablo 0.25–0.5 mm²</t>
  </si>
  <si>
    <t xml:space="preserve">SELV iç bağlantılar</t>
  </si>
  <si>
    <t xml:space="preserve">Sensör kablosu, 4 damarlı ekranlı</t>
  </si>
  <si>
    <t xml:space="preserve">3.3 V beslemede ≤ 5 m; daha uzunsa CC-SCH-01 not 3</t>
  </si>
  <si>
    <t xml:space="preserve">Kablo yüksüğü</t>
  </si>
  <si>
    <t xml:space="preserve">0.5 / 0.75 / 1.5 / 2.5 mm²</t>
  </si>
  <si>
    <t xml:space="preserve">Yalıtkan bariyer</t>
  </si>
  <si>
    <t xml:space="preserve">Şebeke–SELV arasında ≥ 6 mm; SSR giriş/çıkış ve röle kontak tarafı ayrı klemens bloklarında</t>
  </si>
  <si>
    <t xml:space="preserve">g.k.</t>
  </si>
  <si>
    <t xml:space="preserve">Yedek sigorta T 1 A 5×20 mm</t>
  </si>
  <si>
    <t xml:space="preserve">Yedek</t>
  </si>
  <si>
    <t xml:space="preserve">Yedek sigorta T 2 A 5×20 mm</t>
  </si>
  <si>
    <t xml:space="preserve">Micro-USB kablo</t>
  </si>
  <si>
    <t xml:space="preserve">Programlama ve seri konsol (115200)</t>
  </si>
  <si>
    <t xml:space="preserve">4 HIL test</t>
  </si>
  <si>
    <t xml:space="preserve">R9, R10</t>
  </si>
  <si>
    <t xml:space="preserve">HIL-1: J2/J3 yerine +5V → R → LED → Q1/Q2 kollektörü</t>
  </si>
  <si>
    <t xml:space="preserve">Test</t>
  </si>
  <si>
    <t xml:space="preserve">LED1, LED2</t>
  </si>
  <si>
    <t xml:space="preserve">3 mm LED</t>
  </si>
  <si>
    <t xml:space="preserve">HIL-1 SSR komut göstergesi (WS2812B LED1–LED6 ile karıştırılmasın)</t>
  </si>
  <si>
    <t xml:space="preserve">Akkor / halojen lamba 25–60 W 230 V + duy</t>
  </si>
  <si>
    <t xml:space="preserve">HIL-2 düşük güçlü yük. LED lamba kullanılmaz: SSR kaçak akımı kapalıyken de yakar</t>
  </si>
  <si>
    <t xml:space="preserve">Kapsam: Zorunlu · Önerilen (U4 seviye çevirici ve dekuplajı) · İsteğe bağlı · Yedek · Test (sahaya gitmez, gri). g.k. = gerektiği kadar; adet boş bırakıldı.</t>
  </si>
  <si>
    <t xml:space="preserve">Adetler sipariş listesi sayfasına "Sipariş kalemi" sütunu üzerinden toplanır; bir adedi değiştirirseniz sipariş listesi kendiliğinden güncellenir.</t>
  </si>
  <si>
    <t xml:space="preserve">Sipariş listesi · aynı parçalar birleştirilmiş</t>
  </si>
  <si>
    <t xml:space="preserve">Üretim adedi Test satırlarını içermez. Sarı hücreler sizin dolduracağınız alanlardır (fiyat, tedarikçi, durum).</t>
  </si>
  <si>
    <t xml:space="preserve">Referanslar</t>
  </si>
  <si>
    <t xml:space="preserve">Üretim adedi</t>
  </si>
  <si>
    <t xml:space="preserve">Test dahil</t>
  </si>
  <si>
    <t xml:space="preserve">Birim fiyat (₺)</t>
  </si>
  <si>
    <t xml:space="preserve">Tutar (₺)</t>
  </si>
  <si>
    <t xml:space="preserve">Tedarikçi</t>
  </si>
  <si>
    <t xml:space="preserve">Durum</t>
  </si>
  <si>
    <t xml:space="preserve">Bekliyor</t>
  </si>
  <si>
    <t xml:space="preserve">R3, R5, R9, R10</t>
  </si>
  <si>
    <t xml:space="preserve">R4, R6, R7, R8</t>
  </si>
  <si>
    <t xml:space="preserve">C1, C8</t>
  </si>
  <si>
    <t xml:space="preserve">C2, C4, C5, C9, C10</t>
  </si>
  <si>
    <t xml:space="preserve">Toplam (fiyatı girilen kalemler)</t>
  </si>
  <si>
    <t xml:space="preserve">Fiyatı girilen kalem sayısı</t>
  </si>
  <si>
    <t xml:space="preserve">Nasıl doldurulur</t>
  </si>
  <si>
    <t xml:space="preserve">Sarı hücreler (Birim fiyat, Tedarikçi, Durum) giriş alanıdır; diğerleri formül veya BOM sayfasından gelir.</t>
  </si>
  <si>
    <t xml:space="preserve">Birim fiyatı KDV dahil ₺ olarak yazın; Tutar = Üretim adedi × Birim fiyat. Örnek biçim (gerçek fiyat değil): 2,50 → Tutar 2 adet için 5,00.</t>
  </si>
  <si>
    <t xml:space="preserve">Tedarikçi serbest metindir (mağaza adı veya bağlantı). Durum listeden seçilir: Bekliyor · Sipariş verildi · Geldi · Stokta var.</t>
  </si>
  <si>
    <t xml:space="preserve">Kablo ve bariyer gibi "g.k." kalemlerin adedi boştur (–); uzunluk pano yerleşimine göre belirlenir.</t>
  </si>
  <si>
    <t xml:space="preserve">+5V güç bütçesi · U1 Mean Well IRM-10-5</t>
  </si>
  <si>
    <t xml:space="preserve">Değerler datasheet tipik/üst değerlerinden alınmıştır; ölçülmemiştir. Mavi hücreler değiştirilebilir girişlerdir.</t>
  </si>
  <si>
    <t xml:space="preserve">Tüketici</t>
  </si>
  <si>
    <t xml:space="preserve">Birim akım (mA)</t>
  </si>
  <si>
    <t xml:space="preserve">Toplam (mA)</t>
  </si>
  <si>
    <t xml:space="preserve">Kaynak / varsayım</t>
  </si>
  <si>
    <t xml:space="preserve">U2 ESP32 DevKit V1 (Wi-Fi gönderim tepesi, AMS1117 üzerinden)</t>
  </si>
  <si>
    <t xml:space="preserve">ESP32 datasheet: 802.11b gönderim ≈ 240 mA; yuvarlandı</t>
  </si>
  <si>
    <t xml:space="preserve">U3 röle bobini (SRD-05VDC)</t>
  </si>
  <si>
    <t xml:space="preserve">5 V, 0.36 W bobin → ≈ 72 mA</t>
  </si>
  <si>
    <t xml:space="preserve">SSR girişi</t>
  </si>
  <si>
    <t xml:space="preserve">Üst sınır varsayımı (3–32 VDC girişli SSR, 5 V'ta)</t>
  </si>
  <si>
    <t xml:space="preserve">LS1 WS2812B LED (beyaz, %100 parlaklık)</t>
  </si>
  <si>
    <t xml:space="preserve">WS2812B: renk başına 20 mA × 3</t>
  </si>
  <si>
    <t xml:space="preserve">U3 opto, DHT22, pull-up dirençleri</t>
  </si>
  <si>
    <t xml:space="preserve">Tahmini toplam (opto 2 × ≈ 2 mA, DHT22 ≈ 1.5 mA)</t>
  </si>
  <si>
    <t xml:space="preserve">Toplam, en kötü durum (mA)</t>
  </si>
  <si>
    <t xml:space="preserve">U1 anma akımı (mA)</t>
  </si>
  <si>
    <t xml:space="preserve">IRM-10-5: 5 V 2 A</t>
  </si>
  <si>
    <t xml:space="preserve">Kullanım oranı</t>
  </si>
  <si>
    <t xml:space="preserve">WS2812B parlaklık ayarı</t>
  </si>
  <si>
    <t xml:space="preserve">Firmware varsayılanı %20 (cc_ledstrip.h)</t>
  </si>
  <si>
    <t xml:space="preserve">Toplam, varsayılan parlaklıkta (mA)</t>
  </si>
  <si>
    <t xml:space="preserve">U1 çıkış gerilimi (V)</t>
  </si>
  <si>
    <t xml:space="preserve">IRM-10-5 nominal</t>
  </si>
  <si>
    <t xml:space="preserve">D1 SS34 ileri yön düşümü (V)</t>
  </si>
  <si>
    <t xml:space="preserve">≈ 0.8 A'de tipik</t>
  </si>
  <si>
    <t xml:space="preserve">+5V hattı (V)</t>
  </si>
  <si>
    <t xml:space="preserve">AMS1117 3.3 V için yeterli mi (≥ 4.4 V)</t>
  </si>
  <si>
    <t xml:space="preserve">≈ 1.1 V düşüm payı; HIL-1'de VIN yük altında ölçülmeli</t>
  </si>
  <si>
    <t xml:space="preserve">WS2812B besleme aralığında mı (3.5–5.3 V)</t>
  </si>
  <si>
    <t xml:space="preserve">WS2812B datasheet</t>
  </si>
  <si>
    <t xml:space="preserve">Röle çeker mi (SRD-05VDC çekme ≤ 3.75 V)</t>
  </si>
  <si>
    <t xml:space="preserve">Bobin nominalinin %75'i</t>
  </si>
  <si>
    <t xml:space="preserve">Notlar</t>
  </si>
  <si>
    <t xml:space="preserve">CC-BOM-01 rev A · 28.10.2026 · ayrıntı: docs/hardware/CC-BOM-01.md</t>
  </si>
  <si>
    <t xml:space="preserve">Şebeke gerilimi</t>
  </si>
  <si>
    <t xml:space="preserve">Şebeke tarafı (Grup 2 ve 3) kurulumu ve enerjilendirmesi yetkili elektrikçi tarafından yapılır. RCBO, STB ve PE bağlantıları ölçülmeden enerji verilmez (checklist 10). ARM hattı olmadığından SSR kısa devre arızasını yalnız F3 (STB) sınırlar.</t>
  </si>
  <si>
    <t xml:space="preserve">Çıkış sürücüleri</t>
  </si>
  <si>
    <t xml:space="preserve">Isıtıcılar (E1, E2) sıfır geçişli SSR ile sürülür: 20 s'lik zaman-oransal pencerede kanal başına saatte ≈ 180 anahtarlama yapılır; kontaklı röle bu yükte kısa sürede aşınır.</t>
  </si>
  <si>
    <t xml:space="preserve">Fanlar (M1, M2) U3 modülündeki kontaklı rölelerle sürülür: seyrek anahtarlanır (min. ON 60 s / OFF 30 s), kontak gerçek açık devre sağlar; RC snubber (R11/C6, R12/C7) kontak arkını ve EMI'yi sınırlar.</t>
  </si>
  <si>
    <t xml:space="preserve">Polarite: R1/R2 (GPIO25/26) aktif-HIGH, NPN low-side sürücü, tabanda pull-down. HF/VF (GPIO32/33) aktif-LOW, IN hattında pull-up. Farklı tetik polaritesinde bir SSR veya röle kartı seçilirse src/app/pins.h ve pull dirençleri değişir.</t>
  </si>
  <si>
    <t xml:space="preserve">LED'ler</t>
  </si>
  <si>
    <t xml:space="preserve">Sahada 6 adet WS2812B LED kullanılır (cc_ledstrip.h, kLedCount = 6). Kart üstü mavi LED (GPIO2) DevKit V1'in üzerindedir, ayrıca alınmaz. HIL LED1/LED2 yalnız ilk testte kullanılır.</t>
  </si>
  <si>
    <t xml:space="preserve">CC-SCH-01 rev B ile farklar</t>
  </si>
  <si>
    <t xml:space="preserve">1. WS2812B şerit katı (LS1, U4, R13, C8–C10, J4) şemada çizili değil; F2.4'te pins.h'e eklendi (GPIO27). Referanslar bu listede önerilmiştir.</t>
  </si>
  <si>
    <t xml:space="preserve">2. D1 (SS34) ve U4 (74AHCT1G125) yüzey montajlıdır; kart delikli pertinaksa 1N5822 ve 74HCT125N (veya 74AHCT125N) kullanılır; T'siz 74HC125 3.3 V girişi güvenilir okumaz.</t>
  </si>
  <si>
    <t xml:space="preserve">3. Şema Sayfa 2 PE notundaki "U1 FG": IRM-10-5 Class II modüldür, FG pini yoktur.</t>
  </si>
  <si>
    <t xml:space="preserve">4. DHT22 kablo sınırı HIL.md'de ≤ 20 m, şema notunda (3.3 V beslemede) ≤ 5 m; bu listede şema notu esas alınmıştır.</t>
  </si>
  <si>
    <t xml:space="preserve">v1 kapsamı dışında (pinleri ayrılmış, bu listede yok)</t>
  </si>
  <si>
    <t xml:space="preserve">HEATER_ARM hattı — GPIO13, lojik VE / ikinci transistör katı (OI-H6, ADR-008) · T2 hava çıkış sensörü — GPIO18 1-Wire, DS18B20 + 4.7 kΩ (OI-H2) · RTC — GPIO21/22 I²C, DS3231 (OI-H10; v1 NTP kullanır) · Fan geri bildirimi — akım trafosu veya RPM çıkışlı fan (OI-H7).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</si>
</sst>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0;\-0;\–"/>
    <numFmt numFmtId="167" formatCode="#,##0.00"/>
    <numFmt numFmtId="168" formatCode="#,##0.00&quot; ₺&quot;"/>
    <numFmt numFmtId="169" formatCode="#,##0"/>
    <numFmt numFmtId="170" formatCode="0.0%"/>
    <numFmt numFmtId="171" formatCode="0%"/>
    <numFmt numFmtId="172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2733"/>
      <name val="Arial"/>
      <family val="0"/>
      <charset val="1"/>
    </font>
    <font>
      <sz val="9"/>
      <color rgb="FF5865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2733"/>
      <name val="Arial"/>
      <family val="0"/>
      <charset val="1"/>
    </font>
    <font>
      <i val="true"/>
      <sz val="10"/>
      <color rgb="FF586573"/>
      <name val="Arial"/>
      <family val="0"/>
      <charset val="1"/>
    </font>
    <font>
      <sz val="10"/>
      <name val="Arial"/>
      <family val="2"/>
    </font>
    <font>
      <sz val="10"/>
      <color rgb="FF0000FF"/>
      <name val="Arial"/>
      <family val="0"/>
      <charset val="1"/>
    </font>
    <font>
      <b val="true"/>
      <sz val="10"/>
      <color rgb="FF1C273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1C2733"/>
      <name val="Arial"/>
      <family val="0"/>
      <charset val="1"/>
    </font>
    <font>
      <b val="true"/>
      <sz val="10"/>
      <color rgb="FF8A1C1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4858"/>
        <bgColor rgb="FF1C2733"/>
      </patternFill>
    </fill>
    <fill>
      <patternFill patternType="solid">
        <fgColor rgb="FFFFFFFF"/>
        <bgColor rgb="FFF1F4F6"/>
      </patternFill>
    </fill>
    <fill>
      <patternFill patternType="solid">
        <fgColor rgb="FFF1F4F6"/>
        <bgColor rgb="FFFFFFFF"/>
      </patternFill>
    </fill>
    <fill>
      <patternFill patternType="solid">
        <fgColor rgb="FFFFF2CC"/>
        <bgColor rgb="FFFCE4E1"/>
      </patternFill>
    </fill>
    <fill>
      <patternFill patternType="solid">
        <fgColor rgb="FFE3E9ED"/>
        <bgColor rgb="FFF1F4F6"/>
      </patternFill>
    </fill>
    <fill>
      <patternFill patternType="solid">
        <fgColor rgb="FFFCE4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FD3"/>
      </left>
      <right style="thin">
        <color rgb="FFC9CFD3"/>
      </right>
      <top style="thin">
        <color rgb="FFC9CFD3"/>
      </top>
      <bottom style="thin">
        <color rgb="FFC9CF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1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2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2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2" fontId="11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F4858"/>
          <bgColor rgb="FF000000"/>
        </patternFill>
      </fill>
    </dxf>
    <dxf>
      <fill>
        <patternFill patternType="solid">
          <fgColor rgb="FFF1F4F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2733"/>
          <bgColor rgb="FF000000"/>
        </patternFill>
      </fill>
    </dxf>
    <dxf>
      <fill>
        <patternFill patternType="solid">
          <fgColor rgb="FF586573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FD3"/>
      <rgbColor rgb="FF808080"/>
      <rgbColor rgb="FF9999FF"/>
      <rgbColor rgb="FF993366"/>
      <rgbColor rgb="FFFFF2CC"/>
      <rgbColor rgb="FFE3E9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4F6"/>
      <rgbColor rgb="FFCCFFCC"/>
      <rgbColor rgb="FFFFFF99"/>
      <rgbColor rgb="FF99CCFF"/>
      <rgbColor rgb="FFFF99CC"/>
      <rgbColor rgb="FFCC99FF"/>
      <rgbColor rgb="FFFCE4E1"/>
      <rgbColor rgb="FF3366FF"/>
      <rgbColor rgb="FF33CCCC"/>
      <rgbColor rgb="FF99CC00"/>
      <rgbColor rgb="FFFFCC00"/>
      <rgbColor rgb="FFFF9900"/>
      <rgbColor rgb="FFFF6600"/>
      <rgbColor rgb="FF586573"/>
      <rgbColor rgb="FF969696"/>
      <rgbColor rgb="FF003366"/>
      <rgbColor rgb="FF339966"/>
      <rgbColor rgb="FF003300"/>
      <rgbColor rgb="FF333300"/>
      <rgbColor rgb="FF8A1C14"/>
      <rgbColor rgb="FF993366"/>
      <rgbColor rgb="FF2F4858"/>
      <rgbColor rgb="FF1C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50"/>
    <col collapsed="false" customWidth="true" hidden="false" outlineLevel="0" max="7" min="7" style="0" width="7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3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0" hidden="false" customHeight="true" outlineLevel="0" collapsed="false">
      <c r="A5" s="4" t="n">
        <v>1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6" t="n">
        <v>1</v>
      </c>
      <c r="H5" s="5" t="s">
        <v>17</v>
      </c>
      <c r="I5" s="5" t="s">
        <v>18</v>
      </c>
      <c r="J5" s="5" t="s">
        <v>14</v>
      </c>
    </row>
    <row r="6" customFormat="false" ht="30" hidden="false" customHeight="true" outlineLevel="0" collapsed="false">
      <c r="A6" s="4" t="n">
        <v>2</v>
      </c>
      <c r="B6" s="5" t="s">
        <v>12</v>
      </c>
      <c r="C6" s="5" t="s">
        <v>19</v>
      </c>
      <c r="D6" s="5" t="s">
        <v>20</v>
      </c>
      <c r="E6" s="5" t="s">
        <v>21</v>
      </c>
      <c r="F6" s="5" t="s">
        <v>22</v>
      </c>
      <c r="G6" s="6" t="n">
        <v>1</v>
      </c>
      <c r="H6" s="5" t="s">
        <v>17</v>
      </c>
      <c r="I6" s="5" t="s">
        <v>18</v>
      </c>
      <c r="J6" s="5" t="s">
        <v>20</v>
      </c>
    </row>
    <row r="7" customFormat="false" ht="30" hidden="false" customHeight="true" outlineLevel="0" collapsed="false">
      <c r="A7" s="4" t="n">
        <v>3</v>
      </c>
      <c r="B7" s="5" t="s">
        <v>12</v>
      </c>
      <c r="C7" s="5" t="s">
        <v>23</v>
      </c>
      <c r="D7" s="5" t="s">
        <v>24</v>
      </c>
      <c r="E7" s="5" t="s">
        <v>25</v>
      </c>
      <c r="F7" s="5" t="s">
        <v>26</v>
      </c>
      <c r="G7" s="6" t="n">
        <v>1</v>
      </c>
      <c r="H7" s="5" t="s">
        <v>17</v>
      </c>
      <c r="I7" s="5" t="s">
        <v>18</v>
      </c>
      <c r="J7" s="5" t="s">
        <v>24</v>
      </c>
    </row>
    <row r="8" customFormat="false" ht="16.5" hidden="false" customHeight="true" outlineLevel="0" collapsed="false">
      <c r="A8" s="4" t="n">
        <v>4</v>
      </c>
      <c r="B8" s="5" t="s">
        <v>12</v>
      </c>
      <c r="C8" s="5" t="s">
        <v>27</v>
      </c>
      <c r="D8" s="5" t="s">
        <v>28</v>
      </c>
      <c r="E8" s="5" t="s">
        <v>29</v>
      </c>
      <c r="F8" s="5" t="s">
        <v>30</v>
      </c>
      <c r="G8" s="6" t="n">
        <v>1</v>
      </c>
      <c r="H8" s="5" t="s">
        <v>17</v>
      </c>
      <c r="I8" s="5" t="s">
        <v>18</v>
      </c>
      <c r="J8" s="5" t="s">
        <v>28</v>
      </c>
    </row>
    <row r="9" customFormat="false" ht="16.5" hidden="false" customHeight="true" outlineLevel="0" collapsed="false">
      <c r="A9" s="4" t="n">
        <v>5</v>
      </c>
      <c r="B9" s="5" t="s">
        <v>12</v>
      </c>
      <c r="C9" s="5" t="s">
        <v>31</v>
      </c>
      <c r="D9" s="5" t="s">
        <v>32</v>
      </c>
      <c r="E9" s="5" t="s">
        <v>33</v>
      </c>
      <c r="F9" s="5" t="s">
        <v>34</v>
      </c>
      <c r="G9" s="6" t="n">
        <v>2</v>
      </c>
      <c r="H9" s="5" t="s">
        <v>17</v>
      </c>
      <c r="I9" s="5" t="s">
        <v>18</v>
      </c>
      <c r="J9" s="5" t="s">
        <v>35</v>
      </c>
    </row>
    <row r="10" customFormat="false" ht="30" hidden="false" customHeight="true" outlineLevel="0" collapsed="false">
      <c r="A10" s="4" t="n">
        <v>6</v>
      </c>
      <c r="B10" s="5" t="s">
        <v>12</v>
      </c>
      <c r="C10" s="5" t="s">
        <v>36</v>
      </c>
      <c r="D10" s="5" t="s">
        <v>37</v>
      </c>
      <c r="E10" s="5" t="s">
        <v>38</v>
      </c>
      <c r="F10" s="5" t="s">
        <v>39</v>
      </c>
      <c r="G10" s="6" t="n">
        <v>1</v>
      </c>
      <c r="H10" s="5" t="s">
        <v>17</v>
      </c>
      <c r="I10" s="5" t="s">
        <v>18</v>
      </c>
      <c r="J10" s="5" t="s">
        <v>40</v>
      </c>
    </row>
    <row r="11" customFormat="false" ht="16.5" hidden="false" customHeight="true" outlineLevel="0" collapsed="false">
      <c r="A11" s="4" t="n">
        <v>7</v>
      </c>
      <c r="B11" s="5" t="s">
        <v>12</v>
      </c>
      <c r="C11" s="5" t="s">
        <v>41</v>
      </c>
      <c r="D11" s="5" t="s">
        <v>42</v>
      </c>
      <c r="E11" s="5" t="s">
        <v>43</v>
      </c>
      <c r="F11" s="5" t="s">
        <v>44</v>
      </c>
      <c r="G11" s="6" t="n">
        <v>1</v>
      </c>
      <c r="H11" s="5" t="s">
        <v>17</v>
      </c>
      <c r="I11" s="5" t="s">
        <v>18</v>
      </c>
      <c r="J11" s="5" t="s">
        <v>45</v>
      </c>
    </row>
    <row r="12" customFormat="false" ht="16.5" hidden="false" customHeight="true" outlineLevel="0" collapsed="false">
      <c r="A12" s="4" t="n">
        <v>8</v>
      </c>
      <c r="B12" s="5" t="s">
        <v>12</v>
      </c>
      <c r="C12" s="5" t="s">
        <v>46</v>
      </c>
      <c r="D12" s="5" t="s">
        <v>47</v>
      </c>
      <c r="E12" s="5" t="s">
        <v>48</v>
      </c>
      <c r="F12" s="5" t="s">
        <v>49</v>
      </c>
      <c r="G12" s="6" t="n">
        <v>1</v>
      </c>
      <c r="H12" s="5" t="s">
        <v>17</v>
      </c>
      <c r="I12" s="5" t="s">
        <v>18</v>
      </c>
      <c r="J12" s="5" t="s">
        <v>50</v>
      </c>
    </row>
    <row r="13" customFormat="false" ht="16.5" hidden="false" customHeight="true" outlineLevel="0" collapsed="false">
      <c r="A13" s="4" t="n">
        <v>9</v>
      </c>
      <c r="B13" s="5" t="s">
        <v>12</v>
      </c>
      <c r="C13" s="5" t="s">
        <v>51</v>
      </c>
      <c r="D13" s="5" t="s">
        <v>52</v>
      </c>
      <c r="E13" s="5" t="s">
        <v>48</v>
      </c>
      <c r="F13" s="5" t="s">
        <v>53</v>
      </c>
      <c r="G13" s="6" t="n">
        <v>2</v>
      </c>
      <c r="H13" s="5" t="s">
        <v>17</v>
      </c>
      <c r="I13" s="5" t="s">
        <v>18</v>
      </c>
      <c r="J13" s="5" t="s">
        <v>54</v>
      </c>
    </row>
    <row r="14" customFormat="false" ht="16.5" hidden="false" customHeight="true" outlineLevel="0" collapsed="false">
      <c r="A14" s="4" t="n">
        <v>10</v>
      </c>
      <c r="B14" s="5" t="s">
        <v>12</v>
      </c>
      <c r="C14" s="5" t="s">
        <v>55</v>
      </c>
      <c r="D14" s="5" t="s">
        <v>56</v>
      </c>
      <c r="E14" s="5" t="s">
        <v>48</v>
      </c>
      <c r="F14" s="5" t="s">
        <v>57</v>
      </c>
      <c r="G14" s="6" t="n">
        <v>2</v>
      </c>
      <c r="H14" s="5" t="s">
        <v>17</v>
      </c>
      <c r="I14" s="5" t="s">
        <v>18</v>
      </c>
      <c r="J14" s="5" t="s">
        <v>58</v>
      </c>
    </row>
    <row r="15" customFormat="false" ht="30" hidden="false" customHeight="true" outlineLevel="0" collapsed="false">
      <c r="A15" s="4" t="n">
        <v>11</v>
      </c>
      <c r="B15" s="5" t="s">
        <v>12</v>
      </c>
      <c r="C15" s="5" t="s">
        <v>59</v>
      </c>
      <c r="D15" s="5" t="s">
        <v>56</v>
      </c>
      <c r="E15" s="5" t="s">
        <v>48</v>
      </c>
      <c r="F15" s="5" t="s">
        <v>60</v>
      </c>
      <c r="G15" s="6" t="n">
        <v>2</v>
      </c>
      <c r="H15" s="5" t="s">
        <v>17</v>
      </c>
      <c r="I15" s="5" t="s">
        <v>18</v>
      </c>
      <c r="J15" s="5" t="s">
        <v>58</v>
      </c>
    </row>
    <row r="16" customFormat="false" ht="30" hidden="false" customHeight="true" outlineLevel="0" collapsed="false">
      <c r="A16" s="4" t="n">
        <v>12</v>
      </c>
      <c r="B16" s="5" t="s">
        <v>12</v>
      </c>
      <c r="C16" s="5" t="s">
        <v>61</v>
      </c>
      <c r="D16" s="5" t="s">
        <v>62</v>
      </c>
      <c r="E16" s="5" t="s">
        <v>63</v>
      </c>
      <c r="F16" s="5" t="s">
        <v>64</v>
      </c>
      <c r="G16" s="6" t="n">
        <v>1</v>
      </c>
      <c r="H16" s="5" t="s">
        <v>17</v>
      </c>
      <c r="I16" s="5" t="s">
        <v>18</v>
      </c>
      <c r="J16" s="5" t="s">
        <v>65</v>
      </c>
    </row>
    <row r="17" customFormat="false" ht="30" hidden="false" customHeight="true" outlineLevel="0" collapsed="false">
      <c r="A17" s="4" t="n">
        <v>13</v>
      </c>
      <c r="B17" s="5" t="s">
        <v>12</v>
      </c>
      <c r="C17" s="5" t="s">
        <v>66</v>
      </c>
      <c r="D17" s="5" t="s">
        <v>67</v>
      </c>
      <c r="E17" s="5" t="s">
        <v>68</v>
      </c>
      <c r="F17" s="5" t="s">
        <v>69</v>
      </c>
      <c r="G17" s="6" t="n">
        <v>3</v>
      </c>
      <c r="H17" s="5" t="s">
        <v>17</v>
      </c>
      <c r="I17" s="5" t="s">
        <v>18</v>
      </c>
      <c r="J17" s="5" t="s">
        <v>70</v>
      </c>
    </row>
    <row r="18" customFormat="false" ht="16.5" hidden="false" customHeight="true" outlineLevel="0" collapsed="false">
      <c r="A18" s="4" t="n">
        <v>14</v>
      </c>
      <c r="B18" s="5" t="s">
        <v>12</v>
      </c>
      <c r="C18" s="5" t="s">
        <v>71</v>
      </c>
      <c r="D18" s="5" t="s">
        <v>72</v>
      </c>
      <c r="E18" s="5" t="s">
        <v>73</v>
      </c>
      <c r="F18" s="5" t="s">
        <v>74</v>
      </c>
      <c r="G18" s="6" t="n">
        <v>1</v>
      </c>
      <c r="H18" s="5" t="s">
        <v>17</v>
      </c>
      <c r="I18" s="5" t="s">
        <v>18</v>
      </c>
      <c r="J18" s="5" t="s">
        <v>75</v>
      </c>
    </row>
    <row r="19" customFormat="false" ht="16.5" hidden="false" customHeight="true" outlineLevel="0" collapsed="false">
      <c r="A19" s="4" t="n">
        <v>15</v>
      </c>
      <c r="B19" s="5" t="s">
        <v>12</v>
      </c>
      <c r="C19" s="5" t="s">
        <v>76</v>
      </c>
      <c r="D19" s="5" t="s">
        <v>77</v>
      </c>
      <c r="E19" s="5" t="s">
        <v>78</v>
      </c>
      <c r="F19" s="5" t="s">
        <v>79</v>
      </c>
      <c r="G19" s="6" t="n">
        <v>1</v>
      </c>
      <c r="H19" s="5" t="s">
        <v>17</v>
      </c>
      <c r="I19" s="5" t="s">
        <v>18</v>
      </c>
      <c r="J19" s="5" t="s">
        <v>80</v>
      </c>
    </row>
    <row r="20" customFormat="false" ht="16.5" hidden="false" customHeight="true" outlineLevel="0" collapsed="false">
      <c r="A20" s="4" t="n">
        <v>16</v>
      </c>
      <c r="B20" s="5" t="s">
        <v>12</v>
      </c>
      <c r="C20" s="5" t="s">
        <v>81</v>
      </c>
      <c r="D20" s="5" t="s">
        <v>82</v>
      </c>
      <c r="E20" s="5" t="s">
        <v>83</v>
      </c>
      <c r="F20" s="5" t="s">
        <v>84</v>
      </c>
      <c r="G20" s="6" t="n">
        <v>2</v>
      </c>
      <c r="H20" s="5" t="s">
        <v>17</v>
      </c>
      <c r="I20" s="5" t="s">
        <v>18</v>
      </c>
      <c r="J20" s="5" t="s">
        <v>85</v>
      </c>
    </row>
    <row r="21" customFormat="false" ht="30" hidden="false" customHeight="true" outlineLevel="0" collapsed="false">
      <c r="A21" s="4" t="n">
        <v>17</v>
      </c>
      <c r="B21" s="5" t="s">
        <v>12</v>
      </c>
      <c r="C21" s="5" t="s">
        <v>86</v>
      </c>
      <c r="D21" s="5" t="s">
        <v>87</v>
      </c>
      <c r="E21" s="5" t="s">
        <v>48</v>
      </c>
      <c r="F21" s="5" t="s">
        <v>88</v>
      </c>
      <c r="G21" s="6" t="n">
        <v>2</v>
      </c>
      <c r="H21" s="5" t="s">
        <v>17</v>
      </c>
      <c r="I21" s="5" t="s">
        <v>89</v>
      </c>
      <c r="J21" s="5" t="s">
        <v>90</v>
      </c>
    </row>
    <row r="22" customFormat="false" ht="30" hidden="false" customHeight="true" outlineLevel="0" collapsed="false">
      <c r="A22" s="7" t="n">
        <v>18</v>
      </c>
      <c r="B22" s="8" t="s">
        <v>91</v>
      </c>
      <c r="C22" s="8" t="s">
        <v>92</v>
      </c>
      <c r="D22" s="8" t="s">
        <v>93</v>
      </c>
      <c r="E22" s="8" t="s">
        <v>94</v>
      </c>
      <c r="F22" s="8" t="s">
        <v>95</v>
      </c>
      <c r="G22" s="9" t="n">
        <v>1</v>
      </c>
      <c r="H22" s="8" t="s">
        <v>17</v>
      </c>
      <c r="I22" s="8" t="s">
        <v>18</v>
      </c>
      <c r="J22" s="8" t="s">
        <v>93</v>
      </c>
    </row>
    <row r="23" customFormat="false" ht="43.5" hidden="false" customHeight="true" outlineLevel="0" collapsed="false">
      <c r="A23" s="7" t="n">
        <v>19</v>
      </c>
      <c r="B23" s="8" t="s">
        <v>91</v>
      </c>
      <c r="C23" s="8" t="s">
        <v>96</v>
      </c>
      <c r="D23" s="8" t="s">
        <v>97</v>
      </c>
      <c r="E23" s="8" t="s">
        <v>98</v>
      </c>
      <c r="F23" s="8" t="s">
        <v>99</v>
      </c>
      <c r="G23" s="9" t="n">
        <v>1</v>
      </c>
      <c r="H23" s="8" t="s">
        <v>17</v>
      </c>
      <c r="I23" s="8" t="s">
        <v>100</v>
      </c>
      <c r="J23" s="8" t="s">
        <v>101</v>
      </c>
    </row>
    <row r="24" customFormat="false" ht="30" hidden="false" customHeight="true" outlineLevel="0" collapsed="false">
      <c r="A24" s="7" t="n">
        <v>20</v>
      </c>
      <c r="B24" s="8" t="s">
        <v>91</v>
      </c>
      <c r="C24" s="8" t="s">
        <v>102</v>
      </c>
      <c r="D24" s="8" t="s">
        <v>103</v>
      </c>
      <c r="E24" s="8" t="s">
        <v>48</v>
      </c>
      <c r="F24" s="8" t="s">
        <v>104</v>
      </c>
      <c r="G24" s="9" t="n">
        <v>1</v>
      </c>
      <c r="H24" s="8" t="s">
        <v>17</v>
      </c>
      <c r="I24" s="8" t="s">
        <v>18</v>
      </c>
      <c r="J24" s="8" t="s">
        <v>105</v>
      </c>
    </row>
    <row r="25" customFormat="false" ht="30" hidden="false" customHeight="true" outlineLevel="0" collapsed="false">
      <c r="A25" s="7" t="n">
        <v>21</v>
      </c>
      <c r="B25" s="8" t="s">
        <v>91</v>
      </c>
      <c r="C25" s="8" t="s">
        <v>106</v>
      </c>
      <c r="D25" s="8" t="s">
        <v>62</v>
      </c>
      <c r="E25" s="8" t="s">
        <v>107</v>
      </c>
      <c r="F25" s="8" t="s">
        <v>108</v>
      </c>
      <c r="G25" s="9" t="n">
        <v>1</v>
      </c>
      <c r="H25" s="8" t="s">
        <v>17</v>
      </c>
      <c r="I25" s="8" t="s">
        <v>18</v>
      </c>
      <c r="J25" s="8" t="s">
        <v>65</v>
      </c>
    </row>
    <row r="26" customFormat="false" ht="16.5" hidden="false" customHeight="true" outlineLevel="0" collapsed="false">
      <c r="A26" s="7" t="n">
        <v>22</v>
      </c>
      <c r="B26" s="8" t="s">
        <v>91</v>
      </c>
      <c r="C26" s="8" t="s">
        <v>109</v>
      </c>
      <c r="D26" s="8" t="s">
        <v>67</v>
      </c>
      <c r="E26" s="8" t="s">
        <v>68</v>
      </c>
      <c r="F26" s="8" t="s">
        <v>108</v>
      </c>
      <c r="G26" s="9" t="n">
        <v>1</v>
      </c>
      <c r="H26" s="8" t="s">
        <v>17</v>
      </c>
      <c r="I26" s="8" t="s">
        <v>18</v>
      </c>
      <c r="J26" s="8" t="s">
        <v>70</v>
      </c>
    </row>
    <row r="27" customFormat="false" ht="16.5" hidden="false" customHeight="true" outlineLevel="0" collapsed="false">
      <c r="A27" s="7" t="n">
        <v>23</v>
      </c>
      <c r="B27" s="8" t="s">
        <v>91</v>
      </c>
      <c r="C27" s="8" t="s">
        <v>110</v>
      </c>
      <c r="D27" s="8" t="s">
        <v>67</v>
      </c>
      <c r="E27" s="8" t="s">
        <v>68</v>
      </c>
      <c r="F27" s="8" t="s">
        <v>111</v>
      </c>
      <c r="G27" s="9" t="n">
        <v>1</v>
      </c>
      <c r="H27" s="8" t="s">
        <v>17</v>
      </c>
      <c r="I27" s="8" t="s">
        <v>100</v>
      </c>
      <c r="J27" s="8" t="s">
        <v>70</v>
      </c>
    </row>
    <row r="28" customFormat="false" ht="16.5" hidden="false" customHeight="true" outlineLevel="0" collapsed="false">
      <c r="A28" s="7" t="n">
        <v>24</v>
      </c>
      <c r="B28" s="8" t="s">
        <v>91</v>
      </c>
      <c r="C28" s="8" t="s">
        <v>112</v>
      </c>
      <c r="D28" s="8" t="s">
        <v>113</v>
      </c>
      <c r="E28" s="8" t="s">
        <v>114</v>
      </c>
      <c r="F28" s="8" t="s">
        <v>115</v>
      </c>
      <c r="G28" s="9" t="n">
        <v>1</v>
      </c>
      <c r="H28" s="8" t="s">
        <v>17</v>
      </c>
      <c r="I28" s="8" t="s">
        <v>18</v>
      </c>
      <c r="J28" s="8" t="s">
        <v>116</v>
      </c>
    </row>
    <row r="29" customFormat="false" ht="30" hidden="false" customHeight="true" outlineLevel="0" collapsed="false">
      <c r="A29" s="4" t="n">
        <v>25</v>
      </c>
      <c r="B29" s="5" t="s">
        <v>117</v>
      </c>
      <c r="C29" s="5" t="s">
        <v>86</v>
      </c>
      <c r="D29" s="5" t="s">
        <v>118</v>
      </c>
      <c r="E29" s="5" t="s">
        <v>119</v>
      </c>
      <c r="F29" s="5" t="s">
        <v>120</v>
      </c>
      <c r="G29" s="6" t="n">
        <v>1</v>
      </c>
      <c r="H29" s="5" t="s">
        <v>17</v>
      </c>
      <c r="I29" s="5" t="s">
        <v>18</v>
      </c>
      <c r="J29" s="5" t="s">
        <v>118</v>
      </c>
    </row>
    <row r="30" customFormat="false" ht="16.5" hidden="false" customHeight="true" outlineLevel="0" collapsed="false">
      <c r="A30" s="4" t="n">
        <v>26</v>
      </c>
      <c r="B30" s="5" t="s">
        <v>117</v>
      </c>
      <c r="C30" s="5" t="s">
        <v>86</v>
      </c>
      <c r="D30" s="5" t="s">
        <v>121</v>
      </c>
      <c r="E30" s="5" t="s">
        <v>122</v>
      </c>
      <c r="F30" s="5" t="s">
        <v>123</v>
      </c>
      <c r="G30" s="6" t="n">
        <v>2</v>
      </c>
      <c r="H30" s="5" t="s">
        <v>17</v>
      </c>
      <c r="I30" s="5" t="s">
        <v>18</v>
      </c>
      <c r="J30" s="5" t="s">
        <v>121</v>
      </c>
    </row>
    <row r="31" customFormat="false" ht="16.5" hidden="false" customHeight="true" outlineLevel="0" collapsed="false">
      <c r="A31" s="4" t="n">
        <v>27</v>
      </c>
      <c r="B31" s="5" t="s">
        <v>117</v>
      </c>
      <c r="C31" s="5" t="s">
        <v>86</v>
      </c>
      <c r="D31" s="5" t="s">
        <v>124</v>
      </c>
      <c r="E31" s="5"/>
      <c r="F31" s="5" t="s">
        <v>125</v>
      </c>
      <c r="G31" s="6" t="n">
        <v>4</v>
      </c>
      <c r="H31" s="5" t="s">
        <v>126</v>
      </c>
      <c r="I31" s="5" t="s">
        <v>18</v>
      </c>
      <c r="J31" s="5" t="s">
        <v>124</v>
      </c>
    </row>
    <row r="32" customFormat="false" ht="16.5" hidden="false" customHeight="true" outlineLevel="0" collapsed="false">
      <c r="A32" s="7" t="n">
        <v>28</v>
      </c>
      <c r="B32" s="8" t="s">
        <v>127</v>
      </c>
      <c r="C32" s="8" t="s">
        <v>128</v>
      </c>
      <c r="D32" s="8" t="s">
        <v>129</v>
      </c>
      <c r="E32" s="8" t="s">
        <v>130</v>
      </c>
      <c r="F32" s="8" t="s">
        <v>131</v>
      </c>
      <c r="G32" s="9" t="n">
        <v>1</v>
      </c>
      <c r="H32" s="8" t="s">
        <v>126</v>
      </c>
      <c r="I32" s="8" t="s">
        <v>18</v>
      </c>
      <c r="J32" s="8" t="s">
        <v>129</v>
      </c>
    </row>
    <row r="33" customFormat="false" ht="30" hidden="false" customHeight="true" outlineLevel="0" collapsed="false">
      <c r="A33" s="7" t="n">
        <v>29</v>
      </c>
      <c r="B33" s="8" t="s">
        <v>127</v>
      </c>
      <c r="C33" s="8" t="s">
        <v>132</v>
      </c>
      <c r="D33" s="8" t="s">
        <v>133</v>
      </c>
      <c r="E33" s="8" t="s">
        <v>134</v>
      </c>
      <c r="F33" s="8" t="s">
        <v>135</v>
      </c>
      <c r="G33" s="9" t="n">
        <v>1</v>
      </c>
      <c r="H33" s="8" t="s">
        <v>17</v>
      </c>
      <c r="I33" s="8" t="s">
        <v>18</v>
      </c>
      <c r="J33" s="8" t="s">
        <v>133</v>
      </c>
    </row>
    <row r="34" customFormat="false" ht="30" hidden="false" customHeight="true" outlineLevel="0" collapsed="false">
      <c r="A34" s="7" t="n">
        <v>30</v>
      </c>
      <c r="B34" s="8" t="s">
        <v>127</v>
      </c>
      <c r="C34" s="8" t="s">
        <v>136</v>
      </c>
      <c r="D34" s="8" t="s">
        <v>137</v>
      </c>
      <c r="E34" s="8" t="s">
        <v>138</v>
      </c>
      <c r="F34" s="8" t="s">
        <v>139</v>
      </c>
      <c r="G34" s="9" t="n">
        <v>1</v>
      </c>
      <c r="H34" s="8" t="s">
        <v>17</v>
      </c>
      <c r="I34" s="8" t="s">
        <v>18</v>
      </c>
      <c r="J34" s="8" t="s">
        <v>137</v>
      </c>
    </row>
    <row r="35" customFormat="false" ht="16.5" hidden="false" customHeight="true" outlineLevel="0" collapsed="false">
      <c r="A35" s="7" t="n">
        <v>31</v>
      </c>
      <c r="B35" s="8" t="s">
        <v>127</v>
      </c>
      <c r="C35" s="8" t="s">
        <v>140</v>
      </c>
      <c r="D35" s="8" t="s">
        <v>141</v>
      </c>
      <c r="E35" s="8" t="s">
        <v>134</v>
      </c>
      <c r="F35" s="8" t="s">
        <v>142</v>
      </c>
      <c r="G35" s="9" t="n">
        <v>1</v>
      </c>
      <c r="H35" s="8" t="s">
        <v>17</v>
      </c>
      <c r="I35" s="8" t="s">
        <v>18</v>
      </c>
      <c r="J35" s="8" t="s">
        <v>141</v>
      </c>
    </row>
    <row r="36" customFormat="false" ht="43.5" hidden="false" customHeight="true" outlineLevel="0" collapsed="false">
      <c r="A36" s="7" t="n">
        <v>32</v>
      </c>
      <c r="B36" s="8" t="s">
        <v>127</v>
      </c>
      <c r="C36" s="8" t="s">
        <v>143</v>
      </c>
      <c r="D36" s="8" t="s">
        <v>144</v>
      </c>
      <c r="E36" s="8" t="s">
        <v>145</v>
      </c>
      <c r="F36" s="8" t="s">
        <v>146</v>
      </c>
      <c r="G36" s="9" t="n">
        <v>1</v>
      </c>
      <c r="H36" s="8" t="s">
        <v>17</v>
      </c>
      <c r="I36" s="8" t="s">
        <v>18</v>
      </c>
      <c r="J36" s="8" t="s">
        <v>144</v>
      </c>
    </row>
    <row r="37" customFormat="false" ht="30" hidden="false" customHeight="true" outlineLevel="0" collapsed="false">
      <c r="A37" s="7" t="n">
        <v>33</v>
      </c>
      <c r="B37" s="8" t="s">
        <v>127</v>
      </c>
      <c r="C37" s="8" t="s">
        <v>147</v>
      </c>
      <c r="D37" s="8" t="s">
        <v>148</v>
      </c>
      <c r="E37" s="8" t="s">
        <v>138</v>
      </c>
      <c r="F37" s="8" t="s">
        <v>149</v>
      </c>
      <c r="G37" s="9" t="n">
        <v>1</v>
      </c>
      <c r="H37" s="8" t="s">
        <v>17</v>
      </c>
      <c r="I37" s="8" t="s">
        <v>18</v>
      </c>
      <c r="J37" s="8" t="s">
        <v>148</v>
      </c>
    </row>
    <row r="38" customFormat="false" ht="43.5" hidden="false" customHeight="true" outlineLevel="0" collapsed="false">
      <c r="A38" s="7" t="n">
        <v>34</v>
      </c>
      <c r="B38" s="8" t="s">
        <v>127</v>
      </c>
      <c r="C38" s="8" t="s">
        <v>150</v>
      </c>
      <c r="D38" s="8" t="s">
        <v>151</v>
      </c>
      <c r="E38" s="8" t="s">
        <v>152</v>
      </c>
      <c r="F38" s="8" t="s">
        <v>153</v>
      </c>
      <c r="G38" s="9" t="n">
        <v>2</v>
      </c>
      <c r="H38" s="8" t="s">
        <v>17</v>
      </c>
      <c r="I38" s="8" t="s">
        <v>18</v>
      </c>
      <c r="J38" s="8" t="s">
        <v>151</v>
      </c>
    </row>
    <row r="39" customFormat="false" ht="30" hidden="false" customHeight="true" outlineLevel="0" collapsed="false">
      <c r="A39" s="7" t="n">
        <v>35</v>
      </c>
      <c r="B39" s="8" t="s">
        <v>127</v>
      </c>
      <c r="C39" s="8" t="s">
        <v>86</v>
      </c>
      <c r="D39" s="8" t="s">
        <v>154</v>
      </c>
      <c r="E39" s="8" t="s">
        <v>155</v>
      </c>
      <c r="F39" s="8" t="s">
        <v>156</v>
      </c>
      <c r="G39" s="9" t="n">
        <v>2</v>
      </c>
      <c r="H39" s="8" t="s">
        <v>17</v>
      </c>
      <c r="I39" s="8" t="s">
        <v>18</v>
      </c>
      <c r="J39" s="8" t="s">
        <v>154</v>
      </c>
    </row>
    <row r="40" customFormat="false" ht="16.5" hidden="false" customHeight="true" outlineLevel="0" collapsed="false">
      <c r="A40" s="7" t="n">
        <v>36</v>
      </c>
      <c r="B40" s="8" t="s">
        <v>127</v>
      </c>
      <c r="C40" s="8" t="s">
        <v>157</v>
      </c>
      <c r="D40" s="8" t="s">
        <v>158</v>
      </c>
      <c r="E40" s="8" t="s">
        <v>159</v>
      </c>
      <c r="F40" s="8" t="s">
        <v>160</v>
      </c>
      <c r="G40" s="9" t="n">
        <v>2</v>
      </c>
      <c r="H40" s="8" t="s">
        <v>17</v>
      </c>
      <c r="I40" s="8" t="s">
        <v>18</v>
      </c>
      <c r="J40" s="8" t="s">
        <v>161</v>
      </c>
    </row>
    <row r="41" customFormat="false" ht="16.5" hidden="false" customHeight="true" outlineLevel="0" collapsed="false">
      <c r="A41" s="7" t="n">
        <v>37</v>
      </c>
      <c r="B41" s="8" t="s">
        <v>127</v>
      </c>
      <c r="C41" s="8" t="s">
        <v>162</v>
      </c>
      <c r="D41" s="8" t="s">
        <v>47</v>
      </c>
      <c r="E41" s="8" t="s">
        <v>163</v>
      </c>
      <c r="F41" s="8" t="s">
        <v>164</v>
      </c>
      <c r="G41" s="9" t="n">
        <v>2</v>
      </c>
      <c r="H41" s="8" t="s">
        <v>17</v>
      </c>
      <c r="I41" s="8" t="s">
        <v>18</v>
      </c>
      <c r="J41" s="8" t="s">
        <v>165</v>
      </c>
    </row>
    <row r="42" customFormat="false" ht="16.5" hidden="false" customHeight="true" outlineLevel="0" collapsed="false">
      <c r="A42" s="7" t="n">
        <v>38</v>
      </c>
      <c r="B42" s="8" t="s">
        <v>127</v>
      </c>
      <c r="C42" s="8" t="s">
        <v>166</v>
      </c>
      <c r="D42" s="8" t="s">
        <v>167</v>
      </c>
      <c r="E42" s="8" t="s">
        <v>168</v>
      </c>
      <c r="F42" s="8" t="s">
        <v>169</v>
      </c>
      <c r="G42" s="9" t="n">
        <v>2</v>
      </c>
      <c r="H42" s="8" t="s">
        <v>17</v>
      </c>
      <c r="I42" s="8" t="s">
        <v>18</v>
      </c>
      <c r="J42" s="8" t="s">
        <v>170</v>
      </c>
    </row>
    <row r="43" customFormat="false" ht="30" hidden="false" customHeight="true" outlineLevel="0" collapsed="false">
      <c r="A43" s="7" t="n">
        <v>39</v>
      </c>
      <c r="B43" s="8" t="s">
        <v>127</v>
      </c>
      <c r="C43" s="8" t="s">
        <v>171</v>
      </c>
      <c r="D43" s="8" t="s">
        <v>172</v>
      </c>
      <c r="E43" s="8" t="s">
        <v>173</v>
      </c>
      <c r="F43" s="8" t="s">
        <v>174</v>
      </c>
      <c r="G43" s="9" t="n">
        <v>2</v>
      </c>
      <c r="H43" s="8" t="s">
        <v>17</v>
      </c>
      <c r="I43" s="8" t="s">
        <v>18</v>
      </c>
      <c r="J43" s="8" t="s">
        <v>172</v>
      </c>
    </row>
    <row r="44" customFormat="false" ht="16.5" hidden="false" customHeight="true" outlineLevel="0" collapsed="false">
      <c r="A44" s="7" t="n">
        <v>40</v>
      </c>
      <c r="B44" s="8" t="s">
        <v>127</v>
      </c>
      <c r="C44" s="8" t="s">
        <v>175</v>
      </c>
      <c r="D44" s="8" t="s">
        <v>176</v>
      </c>
      <c r="E44" s="8" t="s">
        <v>177</v>
      </c>
      <c r="F44" s="8" t="s">
        <v>178</v>
      </c>
      <c r="G44" s="9" t="n">
        <v>1</v>
      </c>
      <c r="H44" s="8" t="s">
        <v>17</v>
      </c>
      <c r="I44" s="8" t="s">
        <v>18</v>
      </c>
      <c r="J44" s="8" t="s">
        <v>176</v>
      </c>
    </row>
    <row r="45" customFormat="false" ht="16.5" hidden="false" customHeight="true" outlineLevel="0" collapsed="false">
      <c r="A45" s="7" t="n">
        <v>41</v>
      </c>
      <c r="B45" s="8" t="s">
        <v>127</v>
      </c>
      <c r="C45" s="8" t="s">
        <v>179</v>
      </c>
      <c r="D45" s="8" t="s">
        <v>180</v>
      </c>
      <c r="E45" s="8" t="s">
        <v>177</v>
      </c>
      <c r="F45" s="8" t="s">
        <v>181</v>
      </c>
      <c r="G45" s="9" t="n">
        <v>1</v>
      </c>
      <c r="H45" s="8" t="s">
        <v>17</v>
      </c>
      <c r="I45" s="8" t="s">
        <v>18</v>
      </c>
      <c r="J45" s="8" t="s">
        <v>180</v>
      </c>
    </row>
    <row r="46" customFormat="false" ht="43.5" hidden="false" customHeight="true" outlineLevel="0" collapsed="false">
      <c r="A46" s="4" t="n">
        <v>42</v>
      </c>
      <c r="B46" s="5" t="s">
        <v>182</v>
      </c>
      <c r="C46" s="5" t="s">
        <v>86</v>
      </c>
      <c r="D46" s="5" t="s">
        <v>183</v>
      </c>
      <c r="E46" s="5" t="s">
        <v>184</v>
      </c>
      <c r="F46" s="5" t="s">
        <v>185</v>
      </c>
      <c r="G46" s="6" t="n">
        <v>1</v>
      </c>
      <c r="H46" s="5" t="s">
        <v>17</v>
      </c>
      <c r="I46" s="5" t="s">
        <v>18</v>
      </c>
      <c r="J46" s="5" t="s">
        <v>183</v>
      </c>
    </row>
    <row r="47" customFormat="false" ht="16.5" hidden="false" customHeight="true" outlineLevel="0" collapsed="false">
      <c r="A47" s="4" t="n">
        <v>43</v>
      </c>
      <c r="B47" s="5" t="s">
        <v>182</v>
      </c>
      <c r="C47" s="5" t="s">
        <v>86</v>
      </c>
      <c r="D47" s="5" t="s">
        <v>186</v>
      </c>
      <c r="E47" s="5"/>
      <c r="F47" s="5"/>
      <c r="G47" s="6" t="n">
        <v>1</v>
      </c>
      <c r="H47" s="5" t="s">
        <v>187</v>
      </c>
      <c r="I47" s="5" t="s">
        <v>18</v>
      </c>
      <c r="J47" s="5" t="s">
        <v>186</v>
      </c>
    </row>
    <row r="48" customFormat="false" ht="30" hidden="false" customHeight="true" outlineLevel="0" collapsed="false">
      <c r="A48" s="4" t="n">
        <v>44</v>
      </c>
      <c r="B48" s="5" t="s">
        <v>182</v>
      </c>
      <c r="C48" s="5" t="s">
        <v>86</v>
      </c>
      <c r="D48" s="5" t="s">
        <v>188</v>
      </c>
      <c r="E48" s="5" t="s">
        <v>189</v>
      </c>
      <c r="F48" s="5" t="s">
        <v>190</v>
      </c>
      <c r="G48" s="6" t="n">
        <v>1</v>
      </c>
      <c r="H48" s="5" t="s">
        <v>17</v>
      </c>
      <c r="I48" s="5" t="s">
        <v>18</v>
      </c>
      <c r="J48" s="5" t="s">
        <v>188</v>
      </c>
    </row>
    <row r="49" customFormat="false" ht="30" hidden="false" customHeight="true" outlineLevel="0" collapsed="false">
      <c r="A49" s="4" t="n">
        <v>45</v>
      </c>
      <c r="B49" s="5" t="s">
        <v>182</v>
      </c>
      <c r="C49" s="5" t="s">
        <v>86</v>
      </c>
      <c r="D49" s="5" t="s">
        <v>191</v>
      </c>
      <c r="E49" s="5" t="s">
        <v>192</v>
      </c>
      <c r="F49" s="5" t="s">
        <v>193</v>
      </c>
      <c r="G49" s="6" t="n">
        <v>16</v>
      </c>
      <c r="H49" s="5" t="s">
        <v>17</v>
      </c>
      <c r="I49" s="5" t="s">
        <v>18</v>
      </c>
      <c r="J49" s="5" t="s">
        <v>191</v>
      </c>
    </row>
    <row r="50" customFormat="false" ht="16.5" hidden="false" customHeight="true" outlineLevel="0" collapsed="false">
      <c r="A50" s="4" t="n">
        <v>46</v>
      </c>
      <c r="B50" s="5" t="s">
        <v>182</v>
      </c>
      <c r="C50" s="5" t="s">
        <v>86</v>
      </c>
      <c r="D50" s="5" t="s">
        <v>194</v>
      </c>
      <c r="E50" s="5"/>
      <c r="F50" s="5" t="s">
        <v>195</v>
      </c>
      <c r="G50" s="6" t="n">
        <v>5</v>
      </c>
      <c r="H50" s="5" t="s">
        <v>17</v>
      </c>
      <c r="I50" s="5" t="s">
        <v>18</v>
      </c>
      <c r="J50" s="5" t="s">
        <v>194</v>
      </c>
    </row>
    <row r="51" customFormat="false" ht="16.5" hidden="false" customHeight="true" outlineLevel="0" collapsed="false">
      <c r="A51" s="4" t="n">
        <v>47</v>
      </c>
      <c r="B51" s="5" t="s">
        <v>182</v>
      </c>
      <c r="C51" s="5" t="s">
        <v>86</v>
      </c>
      <c r="D51" s="5" t="s">
        <v>196</v>
      </c>
      <c r="E51" s="5"/>
      <c r="F51" s="5" t="s">
        <v>79</v>
      </c>
      <c r="G51" s="6" t="n">
        <v>1</v>
      </c>
      <c r="H51" s="5" t="s">
        <v>17</v>
      </c>
      <c r="I51" s="5" t="s">
        <v>18</v>
      </c>
      <c r="J51" s="5" t="s">
        <v>196</v>
      </c>
    </row>
    <row r="52" customFormat="false" ht="16.5" hidden="false" customHeight="true" outlineLevel="0" collapsed="false">
      <c r="A52" s="4" t="n">
        <v>48</v>
      </c>
      <c r="B52" s="5" t="s">
        <v>182</v>
      </c>
      <c r="C52" s="5" t="s">
        <v>86</v>
      </c>
      <c r="D52" s="5" t="s">
        <v>197</v>
      </c>
      <c r="E52" s="5" t="s">
        <v>198</v>
      </c>
      <c r="F52" s="5" t="s">
        <v>199</v>
      </c>
      <c r="G52" s="6"/>
      <c r="H52" s="5" t="s">
        <v>200</v>
      </c>
      <c r="I52" s="5" t="s">
        <v>18</v>
      </c>
      <c r="J52" s="5" t="s">
        <v>197</v>
      </c>
    </row>
    <row r="53" customFormat="false" ht="16.5" hidden="false" customHeight="true" outlineLevel="0" collapsed="false">
      <c r="A53" s="4" t="n">
        <v>49</v>
      </c>
      <c r="B53" s="5" t="s">
        <v>182</v>
      </c>
      <c r="C53" s="5" t="s">
        <v>86</v>
      </c>
      <c r="D53" s="5" t="s">
        <v>201</v>
      </c>
      <c r="E53" s="5"/>
      <c r="F53" s="5" t="s">
        <v>149</v>
      </c>
      <c r="G53" s="6"/>
      <c r="H53" s="5" t="s">
        <v>200</v>
      </c>
      <c r="I53" s="5" t="s">
        <v>18</v>
      </c>
      <c r="J53" s="5" t="s">
        <v>201</v>
      </c>
    </row>
    <row r="54" customFormat="false" ht="16.5" hidden="false" customHeight="true" outlineLevel="0" collapsed="false">
      <c r="A54" s="4" t="n">
        <v>50</v>
      </c>
      <c r="B54" s="5" t="s">
        <v>182</v>
      </c>
      <c r="C54" s="5" t="s">
        <v>86</v>
      </c>
      <c r="D54" s="5" t="s">
        <v>202</v>
      </c>
      <c r="E54" s="5"/>
      <c r="F54" s="5" t="s">
        <v>203</v>
      </c>
      <c r="G54" s="6"/>
      <c r="H54" s="5" t="s">
        <v>200</v>
      </c>
      <c r="I54" s="5" t="s">
        <v>18</v>
      </c>
      <c r="J54" s="5" t="s">
        <v>202</v>
      </c>
    </row>
    <row r="55" customFormat="false" ht="30" hidden="false" customHeight="true" outlineLevel="0" collapsed="false">
      <c r="A55" s="4" t="n">
        <v>51</v>
      </c>
      <c r="B55" s="5" t="s">
        <v>182</v>
      </c>
      <c r="C55" s="5" t="s">
        <v>86</v>
      </c>
      <c r="D55" s="5" t="s">
        <v>204</v>
      </c>
      <c r="E55" s="5"/>
      <c r="F55" s="5" t="s">
        <v>205</v>
      </c>
      <c r="G55" s="6" t="n">
        <v>5</v>
      </c>
      <c r="H55" s="5" t="s">
        <v>187</v>
      </c>
      <c r="I55" s="5" t="s">
        <v>18</v>
      </c>
      <c r="J55" s="5" t="s">
        <v>204</v>
      </c>
    </row>
    <row r="56" customFormat="false" ht="16.5" hidden="false" customHeight="true" outlineLevel="0" collapsed="false">
      <c r="A56" s="4" t="n">
        <v>52</v>
      </c>
      <c r="B56" s="5" t="s">
        <v>182</v>
      </c>
      <c r="C56" s="5" t="s">
        <v>86</v>
      </c>
      <c r="D56" s="5" t="s">
        <v>206</v>
      </c>
      <c r="E56" s="5" t="s">
        <v>207</v>
      </c>
      <c r="F56" s="5"/>
      <c r="G56" s="6" t="n">
        <v>1</v>
      </c>
      <c r="H56" s="5" t="s">
        <v>126</v>
      </c>
      <c r="I56" s="5" t="s">
        <v>18</v>
      </c>
      <c r="J56" s="5" t="s">
        <v>206</v>
      </c>
    </row>
    <row r="57" customFormat="false" ht="30" hidden="false" customHeight="true" outlineLevel="0" collapsed="false">
      <c r="A57" s="4" t="n">
        <v>53</v>
      </c>
      <c r="B57" s="5" t="s">
        <v>182</v>
      </c>
      <c r="C57" s="5" t="s">
        <v>86</v>
      </c>
      <c r="D57" s="5" t="s">
        <v>208</v>
      </c>
      <c r="E57" s="5"/>
      <c r="F57" s="5" t="s">
        <v>209</v>
      </c>
      <c r="G57" s="6"/>
      <c r="H57" s="5" t="s">
        <v>210</v>
      </c>
      <c r="I57" s="5" t="s">
        <v>18</v>
      </c>
      <c r="J57" s="5" t="s">
        <v>208</v>
      </c>
    </row>
    <row r="58" customFormat="false" ht="16.5" hidden="false" customHeight="true" outlineLevel="0" collapsed="false">
      <c r="A58" s="4" t="n">
        <v>54</v>
      </c>
      <c r="B58" s="5" t="s">
        <v>182</v>
      </c>
      <c r="C58" s="5" t="s">
        <v>86</v>
      </c>
      <c r="D58" s="5" t="s">
        <v>211</v>
      </c>
      <c r="E58" s="5"/>
      <c r="F58" s="5"/>
      <c r="G58" s="6" t="n">
        <v>2</v>
      </c>
      <c r="H58" s="5" t="s">
        <v>17</v>
      </c>
      <c r="I58" s="5" t="s">
        <v>212</v>
      </c>
      <c r="J58" s="5" t="s">
        <v>211</v>
      </c>
    </row>
    <row r="59" customFormat="false" ht="16.5" hidden="false" customHeight="true" outlineLevel="0" collapsed="false">
      <c r="A59" s="4" t="n">
        <v>55</v>
      </c>
      <c r="B59" s="5" t="s">
        <v>182</v>
      </c>
      <c r="C59" s="5" t="s">
        <v>86</v>
      </c>
      <c r="D59" s="5" t="s">
        <v>213</v>
      </c>
      <c r="E59" s="5"/>
      <c r="F59" s="5"/>
      <c r="G59" s="6" t="n">
        <v>2</v>
      </c>
      <c r="H59" s="5" t="s">
        <v>17</v>
      </c>
      <c r="I59" s="5" t="s">
        <v>212</v>
      </c>
      <c r="J59" s="5" t="s">
        <v>213</v>
      </c>
    </row>
    <row r="60" customFormat="false" ht="16.5" hidden="false" customHeight="true" outlineLevel="0" collapsed="false">
      <c r="A60" s="4" t="n">
        <v>56</v>
      </c>
      <c r="B60" s="5" t="s">
        <v>182</v>
      </c>
      <c r="C60" s="5" t="s">
        <v>86</v>
      </c>
      <c r="D60" s="5" t="s">
        <v>214</v>
      </c>
      <c r="E60" s="5"/>
      <c r="F60" s="5" t="s">
        <v>215</v>
      </c>
      <c r="G60" s="6" t="n">
        <v>1</v>
      </c>
      <c r="H60" s="5" t="s">
        <v>17</v>
      </c>
      <c r="I60" s="5" t="s">
        <v>18</v>
      </c>
      <c r="J60" s="5" t="s">
        <v>214</v>
      </c>
    </row>
    <row r="61" customFormat="false" ht="30" hidden="false" customHeight="true" outlineLevel="0" collapsed="false">
      <c r="A61" s="10" t="n">
        <v>57</v>
      </c>
      <c r="B61" s="11" t="s">
        <v>216</v>
      </c>
      <c r="C61" s="11" t="s">
        <v>217</v>
      </c>
      <c r="D61" s="11" t="s">
        <v>52</v>
      </c>
      <c r="E61" s="11" t="s">
        <v>48</v>
      </c>
      <c r="F61" s="11" t="s">
        <v>218</v>
      </c>
      <c r="G61" s="12" t="n">
        <v>2</v>
      </c>
      <c r="H61" s="11" t="s">
        <v>17</v>
      </c>
      <c r="I61" s="11" t="s">
        <v>219</v>
      </c>
      <c r="J61" s="11" t="s">
        <v>54</v>
      </c>
    </row>
    <row r="62" customFormat="false" ht="30" hidden="false" customHeight="true" outlineLevel="0" collapsed="false">
      <c r="A62" s="10" t="n">
        <v>58</v>
      </c>
      <c r="B62" s="11" t="s">
        <v>216</v>
      </c>
      <c r="C62" s="11" t="s">
        <v>220</v>
      </c>
      <c r="D62" s="11" t="s">
        <v>221</v>
      </c>
      <c r="E62" s="11"/>
      <c r="F62" s="11" t="s">
        <v>222</v>
      </c>
      <c r="G62" s="12" t="n">
        <v>2</v>
      </c>
      <c r="H62" s="11" t="s">
        <v>17</v>
      </c>
      <c r="I62" s="11" t="s">
        <v>219</v>
      </c>
      <c r="J62" s="11" t="s">
        <v>221</v>
      </c>
    </row>
    <row r="63" customFormat="false" ht="30" hidden="false" customHeight="true" outlineLevel="0" collapsed="false">
      <c r="A63" s="10" t="n">
        <v>59</v>
      </c>
      <c r="B63" s="11" t="s">
        <v>216</v>
      </c>
      <c r="C63" s="11" t="s">
        <v>86</v>
      </c>
      <c r="D63" s="11" t="s">
        <v>223</v>
      </c>
      <c r="E63" s="11"/>
      <c r="F63" s="11" t="s">
        <v>224</v>
      </c>
      <c r="G63" s="12" t="n">
        <v>2</v>
      </c>
      <c r="H63" s="11" t="s">
        <v>17</v>
      </c>
      <c r="I63" s="11" t="s">
        <v>219</v>
      </c>
      <c r="J63" s="11" t="s">
        <v>223</v>
      </c>
    </row>
    <row r="65" customFormat="false" ht="15" hidden="false" customHeight="false" outlineLevel="0" collapsed="false">
      <c r="B65" s="2" t="s">
        <v>225</v>
      </c>
    </row>
    <row r="66" customFormat="false" ht="15" hidden="false" customHeight="false" outlineLevel="0" collapsed="false">
      <c r="B66" s="2" t="s">
        <v>226</v>
      </c>
    </row>
  </sheetData>
  <autoFilter ref="A4:J6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6" min="4" style="0" width="10"/>
    <col collapsed="false" customWidth="true" hidden="false" outlineLevel="0" max="8" min="7" style="0" width="14"/>
    <col collapsed="false" customWidth="true" hidden="false" outlineLevel="0" max="9" min="9" style="0" width="24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227</v>
      </c>
    </row>
    <row r="2" customFormat="false" ht="15" hidden="false" customHeight="false" outlineLevel="0" collapsed="false">
      <c r="A2" s="2" t="s">
        <v>228</v>
      </c>
    </row>
    <row r="4" customFormat="false" ht="30" hidden="false" customHeight="true" outlineLevel="0" collapsed="false">
      <c r="A4" s="3" t="s">
        <v>2</v>
      </c>
      <c r="B4" s="3" t="s">
        <v>11</v>
      </c>
      <c r="C4" s="3" t="s">
        <v>229</v>
      </c>
      <c r="D4" s="3" t="s">
        <v>9</v>
      </c>
      <c r="E4" s="3" t="s">
        <v>230</v>
      </c>
      <c r="F4" s="3" t="s">
        <v>231</v>
      </c>
      <c r="G4" s="3" t="s">
        <v>232</v>
      </c>
      <c r="H4" s="3" t="s">
        <v>233</v>
      </c>
      <c r="I4" s="3" t="s">
        <v>234</v>
      </c>
      <c r="J4" s="3" t="s">
        <v>235</v>
      </c>
    </row>
    <row r="5" customFormat="false" ht="16.5" hidden="false" customHeight="true" outlineLevel="0" collapsed="false">
      <c r="A5" s="4" t="n">
        <v>1</v>
      </c>
      <c r="B5" s="5" t="s">
        <v>14</v>
      </c>
      <c r="C5" s="5" t="s">
        <v>13</v>
      </c>
      <c r="D5" s="5" t="s">
        <v>17</v>
      </c>
      <c r="E5" s="13" t="n">
        <f aca="false">SUMIFS(BOM!$G$5:$G$63,BOM!$J$5:$J$63,B5,BOM!$I$5:$I$63,"&lt;&gt;Test")</f>
        <v>1</v>
      </c>
      <c r="F5" s="13" t="n">
        <f aca="false">SUMIFS(BOM!$G$5:$G$63,BOM!$J$5:$J$63,B5)</f>
        <v>1</v>
      </c>
      <c r="G5" s="14"/>
      <c r="H5" s="15" t="str">
        <f aca="false">IF(G5="","",E5*G5)</f>
        <v/>
      </c>
      <c r="I5" s="16"/>
      <c r="J5" s="16" t="s">
        <v>236</v>
      </c>
    </row>
    <row r="6" customFormat="false" ht="16.5" hidden="false" customHeight="true" outlineLevel="0" collapsed="false">
      <c r="A6" s="7" t="n">
        <v>2</v>
      </c>
      <c r="B6" s="8" t="s">
        <v>20</v>
      </c>
      <c r="C6" s="8" t="s">
        <v>19</v>
      </c>
      <c r="D6" s="8" t="s">
        <v>17</v>
      </c>
      <c r="E6" s="17" t="n">
        <f aca="false">SUMIFS(BOM!$G$5:$G$63,BOM!$J$5:$J$63,B6,BOM!$I$5:$I$63,"&lt;&gt;Test")</f>
        <v>1</v>
      </c>
      <c r="F6" s="17" t="n">
        <f aca="false">SUMIFS(BOM!$G$5:$G$63,BOM!$J$5:$J$63,B6)</f>
        <v>1</v>
      </c>
      <c r="G6" s="14"/>
      <c r="H6" s="18" t="str">
        <f aca="false">IF(G6="","",E6*G6)</f>
        <v/>
      </c>
      <c r="I6" s="16"/>
      <c r="J6" s="16" t="s">
        <v>236</v>
      </c>
    </row>
    <row r="7" customFormat="false" ht="16.5" hidden="false" customHeight="true" outlineLevel="0" collapsed="false">
      <c r="A7" s="4" t="n">
        <v>3</v>
      </c>
      <c r="B7" s="5" t="s">
        <v>24</v>
      </c>
      <c r="C7" s="5" t="s">
        <v>23</v>
      </c>
      <c r="D7" s="5" t="s">
        <v>17</v>
      </c>
      <c r="E7" s="13" t="n">
        <f aca="false">SUMIFS(BOM!$G$5:$G$63,BOM!$J$5:$J$63,B7,BOM!$I$5:$I$63,"&lt;&gt;Test")</f>
        <v>1</v>
      </c>
      <c r="F7" s="13" t="n">
        <f aca="false">SUMIFS(BOM!$G$5:$G$63,BOM!$J$5:$J$63,B7)</f>
        <v>1</v>
      </c>
      <c r="G7" s="14"/>
      <c r="H7" s="15" t="str">
        <f aca="false">IF(G7="","",E7*G7)</f>
        <v/>
      </c>
      <c r="I7" s="16"/>
      <c r="J7" s="16" t="s">
        <v>236</v>
      </c>
    </row>
    <row r="8" customFormat="false" ht="16.5" hidden="false" customHeight="true" outlineLevel="0" collapsed="false">
      <c r="A8" s="7" t="n">
        <v>4</v>
      </c>
      <c r="B8" s="8" t="s">
        <v>28</v>
      </c>
      <c r="C8" s="8" t="s">
        <v>27</v>
      </c>
      <c r="D8" s="8" t="s">
        <v>17</v>
      </c>
      <c r="E8" s="17" t="n">
        <f aca="false">SUMIFS(BOM!$G$5:$G$63,BOM!$J$5:$J$63,B8,BOM!$I$5:$I$63,"&lt;&gt;Test")</f>
        <v>1</v>
      </c>
      <c r="F8" s="17" t="n">
        <f aca="false">SUMIFS(BOM!$G$5:$G$63,BOM!$J$5:$J$63,B8)</f>
        <v>1</v>
      </c>
      <c r="G8" s="14"/>
      <c r="H8" s="18" t="str">
        <f aca="false">IF(G8="","",E8*G8)</f>
        <v/>
      </c>
      <c r="I8" s="16"/>
      <c r="J8" s="16" t="s">
        <v>236</v>
      </c>
    </row>
    <row r="9" customFormat="false" ht="16.5" hidden="false" customHeight="true" outlineLevel="0" collapsed="false">
      <c r="A9" s="4" t="n">
        <v>5</v>
      </c>
      <c r="B9" s="5" t="s">
        <v>35</v>
      </c>
      <c r="C9" s="5" t="s">
        <v>31</v>
      </c>
      <c r="D9" s="5" t="s">
        <v>17</v>
      </c>
      <c r="E9" s="13" t="n">
        <f aca="false">SUMIFS(BOM!$G$5:$G$63,BOM!$J$5:$J$63,B9,BOM!$I$5:$I$63,"&lt;&gt;Test")</f>
        <v>2</v>
      </c>
      <c r="F9" s="13" t="n">
        <f aca="false">SUMIFS(BOM!$G$5:$G$63,BOM!$J$5:$J$63,B9)</f>
        <v>2</v>
      </c>
      <c r="G9" s="14"/>
      <c r="H9" s="15" t="str">
        <f aca="false">IF(G9="","",E9*G9)</f>
        <v/>
      </c>
      <c r="I9" s="16"/>
      <c r="J9" s="16" t="s">
        <v>236</v>
      </c>
    </row>
    <row r="10" customFormat="false" ht="16.5" hidden="false" customHeight="true" outlineLevel="0" collapsed="false">
      <c r="A10" s="7" t="n">
        <v>6</v>
      </c>
      <c r="B10" s="8" t="s">
        <v>40</v>
      </c>
      <c r="C10" s="8" t="s">
        <v>36</v>
      </c>
      <c r="D10" s="8" t="s">
        <v>17</v>
      </c>
      <c r="E10" s="17" t="n">
        <f aca="false">SUMIFS(BOM!$G$5:$G$63,BOM!$J$5:$J$63,B10,BOM!$I$5:$I$63,"&lt;&gt;Test")</f>
        <v>1</v>
      </c>
      <c r="F10" s="17" t="n">
        <f aca="false">SUMIFS(BOM!$G$5:$G$63,BOM!$J$5:$J$63,B10)</f>
        <v>1</v>
      </c>
      <c r="G10" s="14"/>
      <c r="H10" s="18" t="str">
        <f aca="false">IF(G10="","",E10*G10)</f>
        <v/>
      </c>
      <c r="I10" s="16"/>
      <c r="J10" s="16" t="s">
        <v>236</v>
      </c>
    </row>
    <row r="11" customFormat="false" ht="16.5" hidden="false" customHeight="true" outlineLevel="0" collapsed="false">
      <c r="A11" s="4" t="n">
        <v>7</v>
      </c>
      <c r="B11" s="5" t="s">
        <v>45</v>
      </c>
      <c r="C11" s="5" t="s">
        <v>41</v>
      </c>
      <c r="D11" s="5" t="s">
        <v>17</v>
      </c>
      <c r="E11" s="13" t="n">
        <f aca="false">SUMIFS(BOM!$G$5:$G$63,BOM!$J$5:$J$63,B11,BOM!$I$5:$I$63,"&lt;&gt;Test")</f>
        <v>1</v>
      </c>
      <c r="F11" s="13" t="n">
        <f aca="false">SUMIFS(BOM!$G$5:$G$63,BOM!$J$5:$J$63,B11)</f>
        <v>1</v>
      </c>
      <c r="G11" s="14"/>
      <c r="H11" s="15" t="str">
        <f aca="false">IF(G11="","",E11*G11)</f>
        <v/>
      </c>
      <c r="I11" s="16"/>
      <c r="J11" s="16" t="s">
        <v>236</v>
      </c>
    </row>
    <row r="12" customFormat="false" ht="16.5" hidden="false" customHeight="true" outlineLevel="0" collapsed="false">
      <c r="A12" s="7" t="n">
        <v>8</v>
      </c>
      <c r="B12" s="8" t="s">
        <v>50</v>
      </c>
      <c r="C12" s="8" t="s">
        <v>46</v>
      </c>
      <c r="D12" s="8" t="s">
        <v>17</v>
      </c>
      <c r="E12" s="17" t="n">
        <f aca="false">SUMIFS(BOM!$G$5:$G$63,BOM!$J$5:$J$63,B12,BOM!$I$5:$I$63,"&lt;&gt;Test")</f>
        <v>1</v>
      </c>
      <c r="F12" s="17" t="n">
        <f aca="false">SUMIFS(BOM!$G$5:$G$63,BOM!$J$5:$J$63,B12)</f>
        <v>1</v>
      </c>
      <c r="G12" s="14"/>
      <c r="H12" s="18" t="str">
        <f aca="false">IF(G12="","",E12*G12)</f>
        <v/>
      </c>
      <c r="I12" s="16"/>
      <c r="J12" s="16" t="s">
        <v>236</v>
      </c>
    </row>
    <row r="13" customFormat="false" ht="16.5" hidden="false" customHeight="true" outlineLevel="0" collapsed="false">
      <c r="A13" s="4" t="n">
        <v>9</v>
      </c>
      <c r="B13" s="5" t="s">
        <v>54</v>
      </c>
      <c r="C13" s="5" t="s">
        <v>237</v>
      </c>
      <c r="D13" s="5" t="s">
        <v>17</v>
      </c>
      <c r="E13" s="13" t="n">
        <f aca="false">SUMIFS(BOM!$G$5:$G$63,BOM!$J$5:$J$63,B13,BOM!$I$5:$I$63,"&lt;&gt;Test")</f>
        <v>2</v>
      </c>
      <c r="F13" s="13" t="n">
        <f aca="false">SUMIFS(BOM!$G$5:$G$63,BOM!$J$5:$J$63,B13)</f>
        <v>4</v>
      </c>
      <c r="G13" s="14"/>
      <c r="H13" s="15" t="str">
        <f aca="false">IF(G13="","",E13*G13)</f>
        <v/>
      </c>
      <c r="I13" s="16"/>
      <c r="J13" s="16" t="s">
        <v>236</v>
      </c>
    </row>
    <row r="14" customFormat="false" ht="16.5" hidden="false" customHeight="true" outlineLevel="0" collapsed="false">
      <c r="A14" s="7" t="n">
        <v>10</v>
      </c>
      <c r="B14" s="8" t="s">
        <v>58</v>
      </c>
      <c r="C14" s="8" t="s">
        <v>238</v>
      </c>
      <c r="D14" s="8" t="s">
        <v>17</v>
      </c>
      <c r="E14" s="17" t="n">
        <f aca="false">SUMIFS(BOM!$G$5:$G$63,BOM!$J$5:$J$63,B14,BOM!$I$5:$I$63,"&lt;&gt;Test")</f>
        <v>4</v>
      </c>
      <c r="F14" s="17" t="n">
        <f aca="false">SUMIFS(BOM!$G$5:$G$63,BOM!$J$5:$J$63,B14)</f>
        <v>4</v>
      </c>
      <c r="G14" s="14"/>
      <c r="H14" s="18" t="str">
        <f aca="false">IF(G14="","",E14*G14)</f>
        <v/>
      </c>
      <c r="I14" s="16"/>
      <c r="J14" s="16" t="s">
        <v>236</v>
      </c>
    </row>
    <row r="15" customFormat="false" ht="16.5" hidden="false" customHeight="true" outlineLevel="0" collapsed="false">
      <c r="A15" s="4" t="n">
        <v>11</v>
      </c>
      <c r="B15" s="5" t="s">
        <v>65</v>
      </c>
      <c r="C15" s="5" t="s">
        <v>239</v>
      </c>
      <c r="D15" s="5" t="s">
        <v>17</v>
      </c>
      <c r="E15" s="13" t="n">
        <f aca="false">SUMIFS(BOM!$G$5:$G$63,BOM!$J$5:$J$63,B15,BOM!$I$5:$I$63,"&lt;&gt;Test")</f>
        <v>2</v>
      </c>
      <c r="F15" s="13" t="n">
        <f aca="false">SUMIFS(BOM!$G$5:$G$63,BOM!$J$5:$J$63,B15)</f>
        <v>2</v>
      </c>
      <c r="G15" s="14"/>
      <c r="H15" s="15" t="str">
        <f aca="false">IF(G15="","",E15*G15)</f>
        <v/>
      </c>
      <c r="I15" s="16"/>
      <c r="J15" s="16" t="s">
        <v>236</v>
      </c>
    </row>
    <row r="16" customFormat="false" ht="16.5" hidden="false" customHeight="true" outlineLevel="0" collapsed="false">
      <c r="A16" s="7" t="n">
        <v>12</v>
      </c>
      <c r="B16" s="8" t="s">
        <v>70</v>
      </c>
      <c r="C16" s="8" t="s">
        <v>240</v>
      </c>
      <c r="D16" s="8" t="s">
        <v>17</v>
      </c>
      <c r="E16" s="17" t="n">
        <f aca="false">SUMIFS(BOM!$G$5:$G$63,BOM!$J$5:$J$63,B16,BOM!$I$5:$I$63,"&lt;&gt;Test")</f>
        <v>5</v>
      </c>
      <c r="F16" s="17" t="n">
        <f aca="false">SUMIFS(BOM!$G$5:$G$63,BOM!$J$5:$J$63,B16)</f>
        <v>5</v>
      </c>
      <c r="G16" s="14"/>
      <c r="H16" s="18" t="str">
        <f aca="false">IF(G16="","",E16*G16)</f>
        <v/>
      </c>
      <c r="I16" s="16"/>
      <c r="J16" s="16" t="s">
        <v>236</v>
      </c>
    </row>
    <row r="17" customFormat="false" ht="16.5" hidden="false" customHeight="true" outlineLevel="0" collapsed="false">
      <c r="A17" s="4" t="n">
        <v>13</v>
      </c>
      <c r="B17" s="5" t="s">
        <v>75</v>
      </c>
      <c r="C17" s="5" t="s">
        <v>71</v>
      </c>
      <c r="D17" s="5" t="s">
        <v>17</v>
      </c>
      <c r="E17" s="13" t="n">
        <f aca="false">SUMIFS(BOM!$G$5:$G$63,BOM!$J$5:$J$63,B17,BOM!$I$5:$I$63,"&lt;&gt;Test")</f>
        <v>1</v>
      </c>
      <c r="F17" s="13" t="n">
        <f aca="false">SUMIFS(BOM!$G$5:$G$63,BOM!$J$5:$J$63,B17)</f>
        <v>1</v>
      </c>
      <c r="G17" s="14"/>
      <c r="H17" s="15" t="str">
        <f aca="false">IF(G17="","",E17*G17)</f>
        <v/>
      </c>
      <c r="I17" s="16"/>
      <c r="J17" s="16" t="s">
        <v>236</v>
      </c>
    </row>
    <row r="18" customFormat="false" ht="16.5" hidden="false" customHeight="true" outlineLevel="0" collapsed="false">
      <c r="A18" s="7" t="n">
        <v>14</v>
      </c>
      <c r="B18" s="8" t="s">
        <v>80</v>
      </c>
      <c r="C18" s="8" t="s">
        <v>76</v>
      </c>
      <c r="D18" s="8" t="s">
        <v>17</v>
      </c>
      <c r="E18" s="17" t="n">
        <f aca="false">SUMIFS(BOM!$G$5:$G$63,BOM!$J$5:$J$63,B18,BOM!$I$5:$I$63,"&lt;&gt;Test")</f>
        <v>1</v>
      </c>
      <c r="F18" s="17" t="n">
        <f aca="false">SUMIFS(BOM!$G$5:$G$63,BOM!$J$5:$J$63,B18)</f>
        <v>1</v>
      </c>
      <c r="G18" s="14"/>
      <c r="H18" s="18" t="str">
        <f aca="false">IF(G18="","",E18*G18)</f>
        <v/>
      </c>
      <c r="I18" s="16"/>
      <c r="J18" s="16" t="s">
        <v>236</v>
      </c>
    </row>
    <row r="19" customFormat="false" ht="16.5" hidden="false" customHeight="true" outlineLevel="0" collapsed="false">
      <c r="A19" s="4" t="n">
        <v>15</v>
      </c>
      <c r="B19" s="5" t="s">
        <v>85</v>
      </c>
      <c r="C19" s="5" t="s">
        <v>81</v>
      </c>
      <c r="D19" s="5" t="s">
        <v>17</v>
      </c>
      <c r="E19" s="13" t="n">
        <f aca="false">SUMIFS(BOM!$G$5:$G$63,BOM!$J$5:$J$63,B19,BOM!$I$5:$I$63,"&lt;&gt;Test")</f>
        <v>2</v>
      </c>
      <c r="F19" s="13" t="n">
        <f aca="false">SUMIFS(BOM!$G$5:$G$63,BOM!$J$5:$J$63,B19)</f>
        <v>2</v>
      </c>
      <c r="G19" s="14"/>
      <c r="H19" s="15" t="str">
        <f aca="false">IF(G19="","",E19*G19)</f>
        <v/>
      </c>
      <c r="I19" s="16"/>
      <c r="J19" s="16" t="s">
        <v>236</v>
      </c>
    </row>
    <row r="20" customFormat="false" ht="16.5" hidden="false" customHeight="true" outlineLevel="0" collapsed="false">
      <c r="A20" s="7" t="n">
        <v>16</v>
      </c>
      <c r="B20" s="8" t="s">
        <v>90</v>
      </c>
      <c r="C20" s="8" t="s">
        <v>86</v>
      </c>
      <c r="D20" s="8" t="s">
        <v>17</v>
      </c>
      <c r="E20" s="17" t="n">
        <f aca="false">SUMIFS(BOM!$G$5:$G$63,BOM!$J$5:$J$63,B20,BOM!$I$5:$I$63,"&lt;&gt;Test")</f>
        <v>2</v>
      </c>
      <c r="F20" s="17" t="n">
        <f aca="false">SUMIFS(BOM!$G$5:$G$63,BOM!$J$5:$J$63,B20)</f>
        <v>2</v>
      </c>
      <c r="G20" s="14"/>
      <c r="H20" s="18" t="str">
        <f aca="false">IF(G20="","",E20*G20)</f>
        <v/>
      </c>
      <c r="I20" s="16"/>
      <c r="J20" s="16" t="s">
        <v>236</v>
      </c>
    </row>
    <row r="21" customFormat="false" ht="16.5" hidden="false" customHeight="true" outlineLevel="0" collapsed="false">
      <c r="A21" s="4" t="n">
        <v>17</v>
      </c>
      <c r="B21" s="5" t="s">
        <v>93</v>
      </c>
      <c r="C21" s="5" t="s">
        <v>92</v>
      </c>
      <c r="D21" s="5" t="s">
        <v>17</v>
      </c>
      <c r="E21" s="13" t="n">
        <f aca="false">SUMIFS(BOM!$G$5:$G$63,BOM!$J$5:$J$63,B21,BOM!$I$5:$I$63,"&lt;&gt;Test")</f>
        <v>1</v>
      </c>
      <c r="F21" s="13" t="n">
        <f aca="false">SUMIFS(BOM!$G$5:$G$63,BOM!$J$5:$J$63,B21)</f>
        <v>1</v>
      </c>
      <c r="G21" s="14"/>
      <c r="H21" s="15" t="str">
        <f aca="false">IF(G21="","",E21*G21)</f>
        <v/>
      </c>
      <c r="I21" s="16"/>
      <c r="J21" s="16" t="s">
        <v>236</v>
      </c>
    </row>
    <row r="22" customFormat="false" ht="30" hidden="false" customHeight="true" outlineLevel="0" collapsed="false">
      <c r="A22" s="7" t="n">
        <v>18</v>
      </c>
      <c r="B22" s="8" t="s">
        <v>101</v>
      </c>
      <c r="C22" s="8" t="s">
        <v>96</v>
      </c>
      <c r="D22" s="8" t="s">
        <v>17</v>
      </c>
      <c r="E22" s="17" t="n">
        <f aca="false">SUMIFS(BOM!$G$5:$G$63,BOM!$J$5:$J$63,B22,BOM!$I$5:$I$63,"&lt;&gt;Test")</f>
        <v>1</v>
      </c>
      <c r="F22" s="17" t="n">
        <f aca="false">SUMIFS(BOM!$G$5:$G$63,BOM!$J$5:$J$63,B22)</f>
        <v>1</v>
      </c>
      <c r="G22" s="14"/>
      <c r="H22" s="18" t="str">
        <f aca="false">IF(G22="","",E22*G22)</f>
        <v/>
      </c>
      <c r="I22" s="16"/>
      <c r="J22" s="16" t="s">
        <v>236</v>
      </c>
    </row>
    <row r="23" customFormat="false" ht="16.5" hidden="false" customHeight="true" outlineLevel="0" collapsed="false">
      <c r="A23" s="4" t="n">
        <v>19</v>
      </c>
      <c r="B23" s="5" t="s">
        <v>105</v>
      </c>
      <c r="C23" s="5" t="s">
        <v>102</v>
      </c>
      <c r="D23" s="5" t="s">
        <v>17</v>
      </c>
      <c r="E23" s="13" t="n">
        <f aca="false">SUMIFS(BOM!$G$5:$G$63,BOM!$J$5:$J$63,B23,BOM!$I$5:$I$63,"&lt;&gt;Test")</f>
        <v>1</v>
      </c>
      <c r="F23" s="13" t="n">
        <f aca="false">SUMIFS(BOM!$G$5:$G$63,BOM!$J$5:$J$63,B23)</f>
        <v>1</v>
      </c>
      <c r="G23" s="14"/>
      <c r="H23" s="15" t="str">
        <f aca="false">IF(G23="","",E23*G23)</f>
        <v/>
      </c>
      <c r="I23" s="16"/>
      <c r="J23" s="16" t="s">
        <v>236</v>
      </c>
    </row>
    <row r="24" customFormat="false" ht="16.5" hidden="false" customHeight="true" outlineLevel="0" collapsed="false">
      <c r="A24" s="7" t="n">
        <v>20</v>
      </c>
      <c r="B24" s="8" t="s">
        <v>116</v>
      </c>
      <c r="C24" s="8" t="s">
        <v>112</v>
      </c>
      <c r="D24" s="8" t="s">
        <v>17</v>
      </c>
      <c r="E24" s="17" t="n">
        <f aca="false">SUMIFS(BOM!$G$5:$G$63,BOM!$J$5:$J$63,B24,BOM!$I$5:$I$63,"&lt;&gt;Test")</f>
        <v>1</v>
      </c>
      <c r="F24" s="17" t="n">
        <f aca="false">SUMIFS(BOM!$G$5:$G$63,BOM!$J$5:$J$63,B24)</f>
        <v>1</v>
      </c>
      <c r="G24" s="14"/>
      <c r="H24" s="18" t="str">
        <f aca="false">IF(G24="","",E24*G24)</f>
        <v/>
      </c>
      <c r="I24" s="16"/>
      <c r="J24" s="16" t="s">
        <v>236</v>
      </c>
    </row>
    <row r="25" customFormat="false" ht="16.5" hidden="false" customHeight="true" outlineLevel="0" collapsed="false">
      <c r="A25" s="4" t="n">
        <v>21</v>
      </c>
      <c r="B25" s="5" t="s">
        <v>118</v>
      </c>
      <c r="C25" s="5" t="s">
        <v>86</v>
      </c>
      <c r="D25" s="5" t="s">
        <v>17</v>
      </c>
      <c r="E25" s="13" t="n">
        <f aca="false">SUMIFS(BOM!$G$5:$G$63,BOM!$J$5:$J$63,B25,BOM!$I$5:$I$63,"&lt;&gt;Test")</f>
        <v>1</v>
      </c>
      <c r="F25" s="13" t="n">
        <f aca="false">SUMIFS(BOM!$G$5:$G$63,BOM!$J$5:$J$63,B25)</f>
        <v>1</v>
      </c>
      <c r="G25" s="14"/>
      <c r="H25" s="15" t="str">
        <f aca="false">IF(G25="","",E25*G25)</f>
        <v/>
      </c>
      <c r="I25" s="16"/>
      <c r="J25" s="16" t="s">
        <v>236</v>
      </c>
    </row>
    <row r="26" customFormat="false" ht="16.5" hidden="false" customHeight="true" outlineLevel="0" collapsed="false">
      <c r="A26" s="7" t="n">
        <v>22</v>
      </c>
      <c r="B26" s="8" t="s">
        <v>121</v>
      </c>
      <c r="C26" s="8" t="s">
        <v>86</v>
      </c>
      <c r="D26" s="8" t="s">
        <v>17</v>
      </c>
      <c r="E26" s="17" t="n">
        <f aca="false">SUMIFS(BOM!$G$5:$G$63,BOM!$J$5:$J$63,B26,BOM!$I$5:$I$63,"&lt;&gt;Test")</f>
        <v>2</v>
      </c>
      <c r="F26" s="17" t="n">
        <f aca="false">SUMIFS(BOM!$G$5:$G$63,BOM!$J$5:$J$63,B26)</f>
        <v>2</v>
      </c>
      <c r="G26" s="14"/>
      <c r="H26" s="18" t="str">
        <f aca="false">IF(G26="","",E26*G26)</f>
        <v/>
      </c>
      <c r="I26" s="16"/>
      <c r="J26" s="16" t="s">
        <v>236</v>
      </c>
    </row>
    <row r="27" customFormat="false" ht="16.5" hidden="false" customHeight="true" outlineLevel="0" collapsed="false">
      <c r="A27" s="4" t="n">
        <v>23</v>
      </c>
      <c r="B27" s="5" t="s">
        <v>124</v>
      </c>
      <c r="C27" s="5" t="s">
        <v>86</v>
      </c>
      <c r="D27" s="5" t="s">
        <v>126</v>
      </c>
      <c r="E27" s="13" t="n">
        <f aca="false">SUMIFS(BOM!$G$5:$G$63,BOM!$J$5:$J$63,B27,BOM!$I$5:$I$63,"&lt;&gt;Test")</f>
        <v>4</v>
      </c>
      <c r="F27" s="13" t="n">
        <f aca="false">SUMIFS(BOM!$G$5:$G$63,BOM!$J$5:$J$63,B27)</f>
        <v>4</v>
      </c>
      <c r="G27" s="14"/>
      <c r="H27" s="15" t="str">
        <f aca="false">IF(G27="","",E27*G27)</f>
        <v/>
      </c>
      <c r="I27" s="16"/>
      <c r="J27" s="16" t="s">
        <v>236</v>
      </c>
    </row>
    <row r="28" customFormat="false" ht="16.5" hidden="false" customHeight="true" outlineLevel="0" collapsed="false">
      <c r="A28" s="7" t="n">
        <v>24</v>
      </c>
      <c r="B28" s="8" t="s">
        <v>129</v>
      </c>
      <c r="C28" s="8" t="s">
        <v>128</v>
      </c>
      <c r="D28" s="8" t="s">
        <v>126</v>
      </c>
      <c r="E28" s="17" t="n">
        <f aca="false">SUMIFS(BOM!$G$5:$G$63,BOM!$J$5:$J$63,B28,BOM!$I$5:$I$63,"&lt;&gt;Test")</f>
        <v>1</v>
      </c>
      <c r="F28" s="17" t="n">
        <f aca="false">SUMIFS(BOM!$G$5:$G$63,BOM!$J$5:$J$63,B28)</f>
        <v>1</v>
      </c>
      <c r="G28" s="14"/>
      <c r="H28" s="18" t="str">
        <f aca="false">IF(G28="","",E28*G28)</f>
        <v/>
      </c>
      <c r="I28" s="16"/>
      <c r="J28" s="16" t="s">
        <v>236</v>
      </c>
    </row>
    <row r="29" customFormat="false" ht="16.5" hidden="false" customHeight="true" outlineLevel="0" collapsed="false">
      <c r="A29" s="4" t="n">
        <v>25</v>
      </c>
      <c r="B29" s="5" t="s">
        <v>133</v>
      </c>
      <c r="C29" s="5" t="s">
        <v>132</v>
      </c>
      <c r="D29" s="5" t="s">
        <v>17</v>
      </c>
      <c r="E29" s="13" t="n">
        <f aca="false">SUMIFS(BOM!$G$5:$G$63,BOM!$J$5:$J$63,B29,BOM!$I$5:$I$63,"&lt;&gt;Test")</f>
        <v>1</v>
      </c>
      <c r="F29" s="13" t="n">
        <f aca="false">SUMIFS(BOM!$G$5:$G$63,BOM!$J$5:$J$63,B29)</f>
        <v>1</v>
      </c>
      <c r="G29" s="14"/>
      <c r="H29" s="15" t="str">
        <f aca="false">IF(G29="","",E29*G29)</f>
        <v/>
      </c>
      <c r="I29" s="16"/>
      <c r="J29" s="16" t="s">
        <v>236</v>
      </c>
    </row>
    <row r="30" customFormat="false" ht="16.5" hidden="false" customHeight="true" outlineLevel="0" collapsed="false">
      <c r="A30" s="7" t="n">
        <v>26</v>
      </c>
      <c r="B30" s="8" t="s">
        <v>137</v>
      </c>
      <c r="C30" s="8" t="s">
        <v>136</v>
      </c>
      <c r="D30" s="8" t="s">
        <v>17</v>
      </c>
      <c r="E30" s="17" t="n">
        <f aca="false">SUMIFS(BOM!$G$5:$G$63,BOM!$J$5:$J$63,B30,BOM!$I$5:$I$63,"&lt;&gt;Test")</f>
        <v>1</v>
      </c>
      <c r="F30" s="17" t="n">
        <f aca="false">SUMIFS(BOM!$G$5:$G$63,BOM!$J$5:$J$63,B30)</f>
        <v>1</v>
      </c>
      <c r="G30" s="14"/>
      <c r="H30" s="18" t="str">
        <f aca="false">IF(G30="","",E30*G30)</f>
        <v/>
      </c>
      <c r="I30" s="16"/>
      <c r="J30" s="16" t="s">
        <v>236</v>
      </c>
    </row>
    <row r="31" customFormat="false" ht="16.5" hidden="false" customHeight="true" outlineLevel="0" collapsed="false">
      <c r="A31" s="4" t="n">
        <v>27</v>
      </c>
      <c r="B31" s="5" t="s">
        <v>141</v>
      </c>
      <c r="C31" s="5" t="s">
        <v>140</v>
      </c>
      <c r="D31" s="5" t="s">
        <v>17</v>
      </c>
      <c r="E31" s="13" t="n">
        <f aca="false">SUMIFS(BOM!$G$5:$G$63,BOM!$J$5:$J$63,B31,BOM!$I$5:$I$63,"&lt;&gt;Test")</f>
        <v>1</v>
      </c>
      <c r="F31" s="13" t="n">
        <f aca="false">SUMIFS(BOM!$G$5:$G$63,BOM!$J$5:$J$63,B31)</f>
        <v>1</v>
      </c>
      <c r="G31" s="14"/>
      <c r="H31" s="15" t="str">
        <f aca="false">IF(G31="","",E31*G31)</f>
        <v/>
      </c>
      <c r="I31" s="16"/>
      <c r="J31" s="16" t="s">
        <v>236</v>
      </c>
    </row>
    <row r="32" customFormat="false" ht="16.5" hidden="false" customHeight="true" outlineLevel="0" collapsed="false">
      <c r="A32" s="7" t="n">
        <v>28</v>
      </c>
      <c r="B32" s="8" t="s">
        <v>144</v>
      </c>
      <c r="C32" s="8" t="s">
        <v>143</v>
      </c>
      <c r="D32" s="8" t="s">
        <v>17</v>
      </c>
      <c r="E32" s="17" t="n">
        <f aca="false">SUMIFS(BOM!$G$5:$G$63,BOM!$J$5:$J$63,B32,BOM!$I$5:$I$63,"&lt;&gt;Test")</f>
        <v>1</v>
      </c>
      <c r="F32" s="17" t="n">
        <f aca="false">SUMIFS(BOM!$G$5:$G$63,BOM!$J$5:$J$63,B32)</f>
        <v>1</v>
      </c>
      <c r="G32" s="14"/>
      <c r="H32" s="18" t="str">
        <f aca="false">IF(G32="","",E32*G32)</f>
        <v/>
      </c>
      <c r="I32" s="16"/>
      <c r="J32" s="16" t="s">
        <v>236</v>
      </c>
    </row>
    <row r="33" customFormat="false" ht="16.5" hidden="false" customHeight="true" outlineLevel="0" collapsed="false">
      <c r="A33" s="4" t="n">
        <v>29</v>
      </c>
      <c r="B33" s="5" t="s">
        <v>148</v>
      </c>
      <c r="C33" s="5" t="s">
        <v>147</v>
      </c>
      <c r="D33" s="5" t="s">
        <v>17</v>
      </c>
      <c r="E33" s="13" t="n">
        <f aca="false">SUMIFS(BOM!$G$5:$G$63,BOM!$J$5:$J$63,B33,BOM!$I$5:$I$63,"&lt;&gt;Test")</f>
        <v>1</v>
      </c>
      <c r="F33" s="13" t="n">
        <f aca="false">SUMIFS(BOM!$G$5:$G$63,BOM!$J$5:$J$63,B33)</f>
        <v>1</v>
      </c>
      <c r="G33" s="14"/>
      <c r="H33" s="15" t="str">
        <f aca="false">IF(G33="","",E33*G33)</f>
        <v/>
      </c>
      <c r="I33" s="16"/>
      <c r="J33" s="16" t="s">
        <v>236</v>
      </c>
    </row>
    <row r="34" customFormat="false" ht="16.5" hidden="false" customHeight="true" outlineLevel="0" collapsed="false">
      <c r="A34" s="7" t="n">
        <v>30</v>
      </c>
      <c r="B34" s="8" t="s">
        <v>151</v>
      </c>
      <c r="C34" s="8" t="s">
        <v>150</v>
      </c>
      <c r="D34" s="8" t="s">
        <v>17</v>
      </c>
      <c r="E34" s="17" t="n">
        <f aca="false">SUMIFS(BOM!$G$5:$G$63,BOM!$J$5:$J$63,B34,BOM!$I$5:$I$63,"&lt;&gt;Test")</f>
        <v>2</v>
      </c>
      <c r="F34" s="17" t="n">
        <f aca="false">SUMIFS(BOM!$G$5:$G$63,BOM!$J$5:$J$63,B34)</f>
        <v>2</v>
      </c>
      <c r="G34" s="14"/>
      <c r="H34" s="18" t="str">
        <f aca="false">IF(G34="","",E34*G34)</f>
        <v/>
      </c>
      <c r="I34" s="16"/>
      <c r="J34" s="16" t="s">
        <v>236</v>
      </c>
    </row>
    <row r="35" customFormat="false" ht="16.5" hidden="false" customHeight="true" outlineLevel="0" collapsed="false">
      <c r="A35" s="4" t="n">
        <v>31</v>
      </c>
      <c r="B35" s="5" t="s">
        <v>154</v>
      </c>
      <c r="C35" s="5" t="s">
        <v>86</v>
      </c>
      <c r="D35" s="5" t="s">
        <v>17</v>
      </c>
      <c r="E35" s="13" t="n">
        <f aca="false">SUMIFS(BOM!$G$5:$G$63,BOM!$J$5:$J$63,B35,BOM!$I$5:$I$63,"&lt;&gt;Test")</f>
        <v>2</v>
      </c>
      <c r="F35" s="13" t="n">
        <f aca="false">SUMIFS(BOM!$G$5:$G$63,BOM!$J$5:$J$63,B35)</f>
        <v>2</v>
      </c>
      <c r="G35" s="14"/>
      <c r="H35" s="15" t="str">
        <f aca="false">IF(G35="","",E35*G35)</f>
        <v/>
      </c>
      <c r="I35" s="16"/>
      <c r="J35" s="16" t="s">
        <v>236</v>
      </c>
    </row>
    <row r="36" customFormat="false" ht="16.5" hidden="false" customHeight="true" outlineLevel="0" collapsed="false">
      <c r="A36" s="7" t="n">
        <v>32</v>
      </c>
      <c r="B36" s="8" t="s">
        <v>161</v>
      </c>
      <c r="C36" s="8" t="s">
        <v>157</v>
      </c>
      <c r="D36" s="8" t="s">
        <v>17</v>
      </c>
      <c r="E36" s="17" t="n">
        <f aca="false">SUMIFS(BOM!$G$5:$G$63,BOM!$J$5:$J$63,B36,BOM!$I$5:$I$63,"&lt;&gt;Test")</f>
        <v>2</v>
      </c>
      <c r="F36" s="17" t="n">
        <f aca="false">SUMIFS(BOM!$G$5:$G$63,BOM!$J$5:$J$63,B36)</f>
        <v>2</v>
      </c>
      <c r="G36" s="14"/>
      <c r="H36" s="18" t="str">
        <f aca="false">IF(G36="","",E36*G36)</f>
        <v/>
      </c>
      <c r="I36" s="16"/>
      <c r="J36" s="16" t="s">
        <v>236</v>
      </c>
    </row>
    <row r="37" customFormat="false" ht="16.5" hidden="false" customHeight="true" outlineLevel="0" collapsed="false">
      <c r="A37" s="4" t="n">
        <v>33</v>
      </c>
      <c r="B37" s="5" t="s">
        <v>165</v>
      </c>
      <c r="C37" s="5" t="s">
        <v>162</v>
      </c>
      <c r="D37" s="5" t="s">
        <v>17</v>
      </c>
      <c r="E37" s="13" t="n">
        <f aca="false">SUMIFS(BOM!$G$5:$G$63,BOM!$J$5:$J$63,B37,BOM!$I$5:$I$63,"&lt;&gt;Test")</f>
        <v>2</v>
      </c>
      <c r="F37" s="13" t="n">
        <f aca="false">SUMIFS(BOM!$G$5:$G$63,BOM!$J$5:$J$63,B37)</f>
        <v>2</v>
      </c>
      <c r="G37" s="14"/>
      <c r="H37" s="15" t="str">
        <f aca="false">IF(G37="","",E37*G37)</f>
        <v/>
      </c>
      <c r="I37" s="16"/>
      <c r="J37" s="16" t="s">
        <v>236</v>
      </c>
    </row>
    <row r="38" customFormat="false" ht="16.5" hidden="false" customHeight="true" outlineLevel="0" collapsed="false">
      <c r="A38" s="7" t="n">
        <v>34</v>
      </c>
      <c r="B38" s="8" t="s">
        <v>170</v>
      </c>
      <c r="C38" s="8" t="s">
        <v>166</v>
      </c>
      <c r="D38" s="8" t="s">
        <v>17</v>
      </c>
      <c r="E38" s="17" t="n">
        <f aca="false">SUMIFS(BOM!$G$5:$G$63,BOM!$J$5:$J$63,B38,BOM!$I$5:$I$63,"&lt;&gt;Test")</f>
        <v>2</v>
      </c>
      <c r="F38" s="17" t="n">
        <f aca="false">SUMIFS(BOM!$G$5:$G$63,BOM!$J$5:$J$63,B38)</f>
        <v>2</v>
      </c>
      <c r="G38" s="14"/>
      <c r="H38" s="18" t="str">
        <f aca="false">IF(G38="","",E38*G38)</f>
        <v/>
      </c>
      <c r="I38" s="16"/>
      <c r="J38" s="16" t="s">
        <v>236</v>
      </c>
    </row>
    <row r="39" customFormat="false" ht="16.5" hidden="false" customHeight="true" outlineLevel="0" collapsed="false">
      <c r="A39" s="4" t="n">
        <v>35</v>
      </c>
      <c r="B39" s="5" t="s">
        <v>172</v>
      </c>
      <c r="C39" s="5" t="s">
        <v>171</v>
      </c>
      <c r="D39" s="5" t="s">
        <v>17</v>
      </c>
      <c r="E39" s="13" t="n">
        <f aca="false">SUMIFS(BOM!$G$5:$G$63,BOM!$J$5:$J$63,B39,BOM!$I$5:$I$63,"&lt;&gt;Test")</f>
        <v>2</v>
      </c>
      <c r="F39" s="13" t="n">
        <f aca="false">SUMIFS(BOM!$G$5:$G$63,BOM!$J$5:$J$63,B39)</f>
        <v>2</v>
      </c>
      <c r="G39" s="14"/>
      <c r="H39" s="15" t="str">
        <f aca="false">IF(G39="","",E39*G39)</f>
        <v/>
      </c>
      <c r="I39" s="16"/>
      <c r="J39" s="16" t="s">
        <v>236</v>
      </c>
    </row>
    <row r="40" customFormat="false" ht="16.5" hidden="false" customHeight="true" outlineLevel="0" collapsed="false">
      <c r="A40" s="7" t="n">
        <v>36</v>
      </c>
      <c r="B40" s="8" t="s">
        <v>176</v>
      </c>
      <c r="C40" s="8" t="s">
        <v>175</v>
      </c>
      <c r="D40" s="8" t="s">
        <v>17</v>
      </c>
      <c r="E40" s="17" t="n">
        <f aca="false">SUMIFS(BOM!$G$5:$G$63,BOM!$J$5:$J$63,B40,BOM!$I$5:$I$63,"&lt;&gt;Test")</f>
        <v>1</v>
      </c>
      <c r="F40" s="17" t="n">
        <f aca="false">SUMIFS(BOM!$G$5:$G$63,BOM!$J$5:$J$63,B40)</f>
        <v>1</v>
      </c>
      <c r="G40" s="14"/>
      <c r="H40" s="18" t="str">
        <f aca="false">IF(G40="","",E40*G40)</f>
        <v/>
      </c>
      <c r="I40" s="16"/>
      <c r="J40" s="16" t="s">
        <v>236</v>
      </c>
    </row>
    <row r="41" customFormat="false" ht="16.5" hidden="false" customHeight="true" outlineLevel="0" collapsed="false">
      <c r="A41" s="4" t="n">
        <v>37</v>
      </c>
      <c r="B41" s="5" t="s">
        <v>180</v>
      </c>
      <c r="C41" s="5" t="s">
        <v>179</v>
      </c>
      <c r="D41" s="5" t="s">
        <v>17</v>
      </c>
      <c r="E41" s="13" t="n">
        <f aca="false">SUMIFS(BOM!$G$5:$G$63,BOM!$J$5:$J$63,B41,BOM!$I$5:$I$63,"&lt;&gt;Test")</f>
        <v>1</v>
      </c>
      <c r="F41" s="13" t="n">
        <f aca="false">SUMIFS(BOM!$G$5:$G$63,BOM!$J$5:$J$63,B41)</f>
        <v>1</v>
      </c>
      <c r="G41" s="14"/>
      <c r="H41" s="15" t="str">
        <f aca="false">IF(G41="","",E41*G41)</f>
        <v/>
      </c>
      <c r="I41" s="16"/>
      <c r="J41" s="16" t="s">
        <v>236</v>
      </c>
    </row>
    <row r="42" customFormat="false" ht="16.5" hidden="false" customHeight="true" outlineLevel="0" collapsed="false">
      <c r="A42" s="7" t="n">
        <v>38</v>
      </c>
      <c r="B42" s="8" t="s">
        <v>183</v>
      </c>
      <c r="C42" s="8" t="s">
        <v>86</v>
      </c>
      <c r="D42" s="8" t="s">
        <v>17</v>
      </c>
      <c r="E42" s="17" t="n">
        <f aca="false">SUMIFS(BOM!$G$5:$G$63,BOM!$J$5:$J$63,B42,BOM!$I$5:$I$63,"&lt;&gt;Test")</f>
        <v>1</v>
      </c>
      <c r="F42" s="17" t="n">
        <f aca="false">SUMIFS(BOM!$G$5:$G$63,BOM!$J$5:$J$63,B42)</f>
        <v>1</v>
      </c>
      <c r="G42" s="14"/>
      <c r="H42" s="18" t="str">
        <f aca="false">IF(G42="","",E42*G42)</f>
        <v/>
      </c>
      <c r="I42" s="16"/>
      <c r="J42" s="16" t="s">
        <v>236</v>
      </c>
    </row>
    <row r="43" customFormat="false" ht="16.5" hidden="false" customHeight="true" outlineLevel="0" collapsed="false">
      <c r="A43" s="4" t="n">
        <v>39</v>
      </c>
      <c r="B43" s="5" t="s">
        <v>186</v>
      </c>
      <c r="C43" s="5" t="s">
        <v>86</v>
      </c>
      <c r="D43" s="5" t="s">
        <v>187</v>
      </c>
      <c r="E43" s="13" t="n">
        <f aca="false">SUMIFS(BOM!$G$5:$G$63,BOM!$J$5:$J$63,B43,BOM!$I$5:$I$63,"&lt;&gt;Test")</f>
        <v>1</v>
      </c>
      <c r="F43" s="13" t="n">
        <f aca="false">SUMIFS(BOM!$G$5:$G$63,BOM!$J$5:$J$63,B43)</f>
        <v>1</v>
      </c>
      <c r="G43" s="14"/>
      <c r="H43" s="15" t="str">
        <f aca="false">IF(G43="","",E43*G43)</f>
        <v/>
      </c>
      <c r="I43" s="16"/>
      <c r="J43" s="16" t="s">
        <v>236</v>
      </c>
    </row>
    <row r="44" customFormat="false" ht="16.5" hidden="false" customHeight="true" outlineLevel="0" collapsed="false">
      <c r="A44" s="7" t="n">
        <v>40</v>
      </c>
      <c r="B44" s="8" t="s">
        <v>188</v>
      </c>
      <c r="C44" s="8" t="s">
        <v>86</v>
      </c>
      <c r="D44" s="8" t="s">
        <v>17</v>
      </c>
      <c r="E44" s="17" t="n">
        <f aca="false">SUMIFS(BOM!$G$5:$G$63,BOM!$J$5:$J$63,B44,BOM!$I$5:$I$63,"&lt;&gt;Test")</f>
        <v>1</v>
      </c>
      <c r="F44" s="17" t="n">
        <f aca="false">SUMIFS(BOM!$G$5:$G$63,BOM!$J$5:$J$63,B44)</f>
        <v>1</v>
      </c>
      <c r="G44" s="14"/>
      <c r="H44" s="18" t="str">
        <f aca="false">IF(G44="","",E44*G44)</f>
        <v/>
      </c>
      <c r="I44" s="16"/>
      <c r="J44" s="16" t="s">
        <v>236</v>
      </c>
    </row>
    <row r="45" customFormat="false" ht="16.5" hidden="false" customHeight="true" outlineLevel="0" collapsed="false">
      <c r="A45" s="4" t="n">
        <v>41</v>
      </c>
      <c r="B45" s="5" t="s">
        <v>191</v>
      </c>
      <c r="C45" s="5" t="s">
        <v>86</v>
      </c>
      <c r="D45" s="5" t="s">
        <v>17</v>
      </c>
      <c r="E45" s="13" t="n">
        <f aca="false">SUMIFS(BOM!$G$5:$G$63,BOM!$J$5:$J$63,B45,BOM!$I$5:$I$63,"&lt;&gt;Test")</f>
        <v>16</v>
      </c>
      <c r="F45" s="13" t="n">
        <f aca="false">SUMIFS(BOM!$G$5:$G$63,BOM!$J$5:$J$63,B45)</f>
        <v>16</v>
      </c>
      <c r="G45" s="14"/>
      <c r="H45" s="15" t="str">
        <f aca="false">IF(G45="","",E45*G45)</f>
        <v/>
      </c>
      <c r="I45" s="16"/>
      <c r="J45" s="16" t="s">
        <v>236</v>
      </c>
    </row>
    <row r="46" customFormat="false" ht="16.5" hidden="false" customHeight="true" outlineLevel="0" collapsed="false">
      <c r="A46" s="7" t="n">
        <v>42</v>
      </c>
      <c r="B46" s="8" t="s">
        <v>194</v>
      </c>
      <c r="C46" s="8" t="s">
        <v>86</v>
      </c>
      <c r="D46" s="8" t="s">
        <v>17</v>
      </c>
      <c r="E46" s="17" t="n">
        <f aca="false">SUMIFS(BOM!$G$5:$G$63,BOM!$J$5:$J$63,B46,BOM!$I$5:$I$63,"&lt;&gt;Test")</f>
        <v>5</v>
      </c>
      <c r="F46" s="17" t="n">
        <f aca="false">SUMIFS(BOM!$G$5:$G$63,BOM!$J$5:$J$63,B46)</f>
        <v>5</v>
      </c>
      <c r="G46" s="14"/>
      <c r="H46" s="18" t="str">
        <f aca="false">IF(G46="","",E46*G46)</f>
        <v/>
      </c>
      <c r="I46" s="16"/>
      <c r="J46" s="16" t="s">
        <v>236</v>
      </c>
    </row>
    <row r="47" customFormat="false" ht="16.5" hidden="false" customHeight="true" outlineLevel="0" collapsed="false">
      <c r="A47" s="4" t="n">
        <v>43</v>
      </c>
      <c r="B47" s="5" t="s">
        <v>196</v>
      </c>
      <c r="C47" s="5" t="s">
        <v>86</v>
      </c>
      <c r="D47" s="5" t="s">
        <v>17</v>
      </c>
      <c r="E47" s="13" t="n">
        <f aca="false">SUMIFS(BOM!$G$5:$G$63,BOM!$J$5:$J$63,B47,BOM!$I$5:$I$63,"&lt;&gt;Test")</f>
        <v>1</v>
      </c>
      <c r="F47" s="13" t="n">
        <f aca="false">SUMIFS(BOM!$G$5:$G$63,BOM!$J$5:$J$63,B47)</f>
        <v>1</v>
      </c>
      <c r="G47" s="14"/>
      <c r="H47" s="15" t="str">
        <f aca="false">IF(G47="","",E47*G47)</f>
        <v/>
      </c>
      <c r="I47" s="16"/>
      <c r="J47" s="16" t="s">
        <v>236</v>
      </c>
    </row>
    <row r="48" customFormat="false" ht="16.5" hidden="false" customHeight="true" outlineLevel="0" collapsed="false">
      <c r="A48" s="7" t="n">
        <v>44</v>
      </c>
      <c r="B48" s="8" t="s">
        <v>197</v>
      </c>
      <c r="C48" s="8" t="s">
        <v>86</v>
      </c>
      <c r="D48" s="8" t="s">
        <v>200</v>
      </c>
      <c r="E48" s="17" t="n">
        <f aca="false">SUMIFS(BOM!$G$5:$G$63,BOM!$J$5:$J$63,B48,BOM!$I$5:$I$63,"&lt;&gt;Test")</f>
        <v>0</v>
      </c>
      <c r="F48" s="17" t="n">
        <f aca="false">SUMIFS(BOM!$G$5:$G$63,BOM!$J$5:$J$63,B48)</f>
        <v>0</v>
      </c>
      <c r="G48" s="14"/>
      <c r="H48" s="18" t="str">
        <f aca="false">IF(G48="","",E48*G48)</f>
        <v/>
      </c>
      <c r="I48" s="16"/>
      <c r="J48" s="16" t="s">
        <v>236</v>
      </c>
    </row>
    <row r="49" customFormat="false" ht="16.5" hidden="false" customHeight="true" outlineLevel="0" collapsed="false">
      <c r="A49" s="4" t="n">
        <v>45</v>
      </c>
      <c r="B49" s="5" t="s">
        <v>201</v>
      </c>
      <c r="C49" s="5" t="s">
        <v>86</v>
      </c>
      <c r="D49" s="5" t="s">
        <v>200</v>
      </c>
      <c r="E49" s="13" t="n">
        <f aca="false">SUMIFS(BOM!$G$5:$G$63,BOM!$J$5:$J$63,B49,BOM!$I$5:$I$63,"&lt;&gt;Test")</f>
        <v>0</v>
      </c>
      <c r="F49" s="13" t="n">
        <f aca="false">SUMIFS(BOM!$G$5:$G$63,BOM!$J$5:$J$63,B49)</f>
        <v>0</v>
      </c>
      <c r="G49" s="14"/>
      <c r="H49" s="15" t="str">
        <f aca="false">IF(G49="","",E49*G49)</f>
        <v/>
      </c>
      <c r="I49" s="16"/>
      <c r="J49" s="16" t="s">
        <v>236</v>
      </c>
    </row>
    <row r="50" customFormat="false" ht="16.5" hidden="false" customHeight="true" outlineLevel="0" collapsed="false">
      <c r="A50" s="7" t="n">
        <v>46</v>
      </c>
      <c r="B50" s="8" t="s">
        <v>202</v>
      </c>
      <c r="C50" s="8" t="s">
        <v>86</v>
      </c>
      <c r="D50" s="8" t="s">
        <v>200</v>
      </c>
      <c r="E50" s="17" t="n">
        <f aca="false">SUMIFS(BOM!$G$5:$G$63,BOM!$J$5:$J$63,B50,BOM!$I$5:$I$63,"&lt;&gt;Test")</f>
        <v>0</v>
      </c>
      <c r="F50" s="17" t="n">
        <f aca="false">SUMIFS(BOM!$G$5:$G$63,BOM!$J$5:$J$63,B50)</f>
        <v>0</v>
      </c>
      <c r="G50" s="14"/>
      <c r="H50" s="18" t="str">
        <f aca="false">IF(G50="","",E50*G50)</f>
        <v/>
      </c>
      <c r="I50" s="16"/>
      <c r="J50" s="16" t="s">
        <v>236</v>
      </c>
    </row>
    <row r="51" customFormat="false" ht="16.5" hidden="false" customHeight="true" outlineLevel="0" collapsed="false">
      <c r="A51" s="4" t="n">
        <v>47</v>
      </c>
      <c r="B51" s="5" t="s">
        <v>204</v>
      </c>
      <c r="C51" s="5" t="s">
        <v>86</v>
      </c>
      <c r="D51" s="5" t="s">
        <v>187</v>
      </c>
      <c r="E51" s="13" t="n">
        <f aca="false">SUMIFS(BOM!$G$5:$G$63,BOM!$J$5:$J$63,B51,BOM!$I$5:$I$63,"&lt;&gt;Test")</f>
        <v>5</v>
      </c>
      <c r="F51" s="13" t="n">
        <f aca="false">SUMIFS(BOM!$G$5:$G$63,BOM!$J$5:$J$63,B51)</f>
        <v>5</v>
      </c>
      <c r="G51" s="14"/>
      <c r="H51" s="15" t="str">
        <f aca="false">IF(G51="","",E51*G51)</f>
        <v/>
      </c>
      <c r="I51" s="16"/>
      <c r="J51" s="16" t="s">
        <v>236</v>
      </c>
    </row>
    <row r="52" customFormat="false" ht="16.5" hidden="false" customHeight="true" outlineLevel="0" collapsed="false">
      <c r="A52" s="7" t="n">
        <v>48</v>
      </c>
      <c r="B52" s="8" t="s">
        <v>206</v>
      </c>
      <c r="C52" s="8" t="s">
        <v>86</v>
      </c>
      <c r="D52" s="8" t="s">
        <v>126</v>
      </c>
      <c r="E52" s="17" t="n">
        <f aca="false">SUMIFS(BOM!$G$5:$G$63,BOM!$J$5:$J$63,B52,BOM!$I$5:$I$63,"&lt;&gt;Test")</f>
        <v>1</v>
      </c>
      <c r="F52" s="17" t="n">
        <f aca="false">SUMIFS(BOM!$G$5:$G$63,BOM!$J$5:$J$63,B52)</f>
        <v>1</v>
      </c>
      <c r="G52" s="14"/>
      <c r="H52" s="18" t="str">
        <f aca="false">IF(G52="","",E52*G52)</f>
        <v/>
      </c>
      <c r="I52" s="16"/>
      <c r="J52" s="16" t="s">
        <v>236</v>
      </c>
    </row>
    <row r="53" customFormat="false" ht="16.5" hidden="false" customHeight="true" outlineLevel="0" collapsed="false">
      <c r="A53" s="4" t="n">
        <v>49</v>
      </c>
      <c r="B53" s="5" t="s">
        <v>208</v>
      </c>
      <c r="C53" s="5" t="s">
        <v>86</v>
      </c>
      <c r="D53" s="5" t="s">
        <v>210</v>
      </c>
      <c r="E53" s="13" t="n">
        <f aca="false">SUMIFS(BOM!$G$5:$G$63,BOM!$J$5:$J$63,B53,BOM!$I$5:$I$63,"&lt;&gt;Test")</f>
        <v>0</v>
      </c>
      <c r="F53" s="13" t="n">
        <f aca="false">SUMIFS(BOM!$G$5:$G$63,BOM!$J$5:$J$63,B53)</f>
        <v>0</v>
      </c>
      <c r="G53" s="14"/>
      <c r="H53" s="15" t="str">
        <f aca="false">IF(G53="","",E53*G53)</f>
        <v/>
      </c>
      <c r="I53" s="16"/>
      <c r="J53" s="16" t="s">
        <v>236</v>
      </c>
    </row>
    <row r="54" customFormat="false" ht="16.5" hidden="false" customHeight="true" outlineLevel="0" collapsed="false">
      <c r="A54" s="7" t="n">
        <v>50</v>
      </c>
      <c r="B54" s="8" t="s">
        <v>211</v>
      </c>
      <c r="C54" s="8" t="s">
        <v>86</v>
      </c>
      <c r="D54" s="8" t="s">
        <v>17</v>
      </c>
      <c r="E54" s="17" t="n">
        <f aca="false">SUMIFS(BOM!$G$5:$G$63,BOM!$J$5:$J$63,B54,BOM!$I$5:$I$63,"&lt;&gt;Test")</f>
        <v>2</v>
      </c>
      <c r="F54" s="17" t="n">
        <f aca="false">SUMIFS(BOM!$G$5:$G$63,BOM!$J$5:$J$63,B54)</f>
        <v>2</v>
      </c>
      <c r="G54" s="14"/>
      <c r="H54" s="18" t="str">
        <f aca="false">IF(G54="","",E54*G54)</f>
        <v/>
      </c>
      <c r="I54" s="16"/>
      <c r="J54" s="16" t="s">
        <v>236</v>
      </c>
    </row>
    <row r="55" customFormat="false" ht="16.5" hidden="false" customHeight="true" outlineLevel="0" collapsed="false">
      <c r="A55" s="4" t="n">
        <v>51</v>
      </c>
      <c r="B55" s="5" t="s">
        <v>213</v>
      </c>
      <c r="C55" s="5" t="s">
        <v>86</v>
      </c>
      <c r="D55" s="5" t="s">
        <v>17</v>
      </c>
      <c r="E55" s="13" t="n">
        <f aca="false">SUMIFS(BOM!$G$5:$G$63,BOM!$J$5:$J$63,B55,BOM!$I$5:$I$63,"&lt;&gt;Test")</f>
        <v>2</v>
      </c>
      <c r="F55" s="13" t="n">
        <f aca="false">SUMIFS(BOM!$G$5:$G$63,BOM!$J$5:$J$63,B55)</f>
        <v>2</v>
      </c>
      <c r="G55" s="14"/>
      <c r="H55" s="15" t="str">
        <f aca="false">IF(G55="","",E55*G55)</f>
        <v/>
      </c>
      <c r="I55" s="16"/>
      <c r="J55" s="16" t="s">
        <v>236</v>
      </c>
    </row>
    <row r="56" customFormat="false" ht="16.5" hidden="false" customHeight="true" outlineLevel="0" collapsed="false">
      <c r="A56" s="7" t="n">
        <v>52</v>
      </c>
      <c r="B56" s="8" t="s">
        <v>214</v>
      </c>
      <c r="C56" s="8" t="s">
        <v>86</v>
      </c>
      <c r="D56" s="8" t="s">
        <v>17</v>
      </c>
      <c r="E56" s="17" t="n">
        <f aca="false">SUMIFS(BOM!$G$5:$G$63,BOM!$J$5:$J$63,B56,BOM!$I$5:$I$63,"&lt;&gt;Test")</f>
        <v>1</v>
      </c>
      <c r="F56" s="17" t="n">
        <f aca="false">SUMIFS(BOM!$G$5:$G$63,BOM!$J$5:$J$63,B56)</f>
        <v>1</v>
      </c>
      <c r="G56" s="14"/>
      <c r="H56" s="18" t="str">
        <f aca="false">IF(G56="","",E56*G56)</f>
        <v/>
      </c>
      <c r="I56" s="16"/>
      <c r="J56" s="16" t="s">
        <v>236</v>
      </c>
    </row>
    <row r="57" customFormat="false" ht="16.5" hidden="false" customHeight="true" outlineLevel="0" collapsed="false">
      <c r="A57" s="4" t="n">
        <v>53</v>
      </c>
      <c r="B57" s="5" t="s">
        <v>221</v>
      </c>
      <c r="C57" s="5" t="s">
        <v>220</v>
      </c>
      <c r="D57" s="5" t="s">
        <v>17</v>
      </c>
      <c r="E57" s="13" t="n">
        <f aca="false">SUMIFS(BOM!$G$5:$G$63,BOM!$J$5:$J$63,B57,BOM!$I$5:$I$63,"&lt;&gt;Test")</f>
        <v>0</v>
      </c>
      <c r="F57" s="13" t="n">
        <f aca="false">SUMIFS(BOM!$G$5:$G$63,BOM!$J$5:$J$63,B57)</f>
        <v>2</v>
      </c>
      <c r="G57" s="14"/>
      <c r="H57" s="15" t="str">
        <f aca="false">IF(G57="","",E57*G57)</f>
        <v/>
      </c>
      <c r="I57" s="16"/>
      <c r="J57" s="16" t="s">
        <v>236</v>
      </c>
    </row>
    <row r="58" customFormat="false" ht="30" hidden="false" customHeight="true" outlineLevel="0" collapsed="false">
      <c r="A58" s="7" t="n">
        <v>54</v>
      </c>
      <c r="B58" s="8" t="s">
        <v>223</v>
      </c>
      <c r="C58" s="8" t="s">
        <v>86</v>
      </c>
      <c r="D58" s="8" t="s">
        <v>17</v>
      </c>
      <c r="E58" s="17" t="n">
        <f aca="false">SUMIFS(BOM!$G$5:$G$63,BOM!$J$5:$J$63,B58,BOM!$I$5:$I$63,"&lt;&gt;Test")</f>
        <v>0</v>
      </c>
      <c r="F58" s="17" t="n">
        <f aca="false">SUMIFS(BOM!$G$5:$G$63,BOM!$J$5:$J$63,B58)</f>
        <v>2</v>
      </c>
      <c r="G58" s="14"/>
      <c r="H58" s="18" t="str">
        <f aca="false">IF(G58="","",E58*G58)</f>
        <v/>
      </c>
      <c r="I58" s="16"/>
      <c r="J58" s="16" t="s">
        <v>236</v>
      </c>
    </row>
    <row r="59" customFormat="false" ht="15" hidden="false" customHeight="false" outlineLevel="0" collapsed="false">
      <c r="A59" s="19"/>
      <c r="B59" s="19" t="s">
        <v>241</v>
      </c>
      <c r="C59" s="19"/>
      <c r="D59" s="19"/>
      <c r="E59" s="19"/>
      <c r="F59" s="19"/>
      <c r="G59" s="19"/>
      <c r="H59" s="20" t="n">
        <f aca="false">SUM(H5:H58)</f>
        <v>0</v>
      </c>
      <c r="I59" s="19"/>
      <c r="J59" s="19"/>
    </row>
    <row r="60" customFormat="false" ht="15" hidden="false" customHeight="false" outlineLevel="0" collapsed="false">
      <c r="A60" s="19"/>
      <c r="B60" s="19" t="s">
        <v>242</v>
      </c>
      <c r="C60" s="19"/>
      <c r="D60" s="19"/>
      <c r="E60" s="19"/>
      <c r="F60" s="19"/>
      <c r="G60" s="19"/>
      <c r="H60" s="21" t="str">
        <f aca="false">COUNT(G5:G58)&amp;" / "&amp;COUNTA(B5:B58)</f>
        <v>0 / 54</v>
      </c>
      <c r="I60" s="19"/>
      <c r="J60" s="19"/>
    </row>
    <row r="62" customFormat="false" ht="15" hidden="false" customHeight="false" outlineLevel="0" collapsed="false">
      <c r="B62" s="22" t="s">
        <v>243</v>
      </c>
    </row>
    <row r="63" customFormat="false" ht="15" hidden="false" customHeight="false" outlineLevel="0" collapsed="false">
      <c r="B63" s="2" t="s">
        <v>244</v>
      </c>
    </row>
    <row r="64" customFormat="false" ht="15" hidden="false" customHeight="false" outlineLevel="0" collapsed="false">
      <c r="B64" s="2" t="s">
        <v>245</v>
      </c>
    </row>
    <row r="65" customFormat="false" ht="15" hidden="false" customHeight="false" outlineLevel="0" collapsed="false">
      <c r="B65" s="2" t="s">
        <v>246</v>
      </c>
    </row>
    <row r="66" customFormat="false" ht="15" hidden="false" customHeight="false" outlineLevel="0" collapsed="false">
      <c r="B66" s="2" t="s">
        <v>247</v>
      </c>
    </row>
  </sheetData>
  <autoFilter ref="A4:J58"/>
  <dataValidations count="1">
    <dataValidation allowBlank="true" error="Listeden seçin." errorStyle="stop" errorTitle="Durum" operator="between" showDropDown="false" showErrorMessage="false" showInputMessage="false" sqref="J5:J58" type="list">
      <formula1>"Bekliyor,Sipariş verildi,Geldi,Stokta var"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64"/>
  </cols>
  <sheetData>
    <row r="1" customFormat="false" ht="17.3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2" t="s">
        <v>249</v>
      </c>
    </row>
    <row r="4" customFormat="false" ht="30" hidden="false" customHeight="true" outlineLevel="0" collapsed="false">
      <c r="A4" s="3" t="s">
        <v>250</v>
      </c>
      <c r="B4" s="3" t="s">
        <v>8</v>
      </c>
      <c r="C4" s="3" t="s">
        <v>251</v>
      </c>
      <c r="D4" s="3" t="s">
        <v>252</v>
      </c>
      <c r="E4" s="3" t="s">
        <v>253</v>
      </c>
    </row>
    <row r="5" customFormat="false" ht="23.85" hidden="false" customHeight="false" outlineLevel="0" collapsed="false">
      <c r="A5" s="5" t="s">
        <v>254</v>
      </c>
      <c r="B5" s="23" t="n">
        <v>1</v>
      </c>
      <c r="C5" s="23" t="n">
        <v>250</v>
      </c>
      <c r="D5" s="24" t="n">
        <f aca="false">B5*C5</f>
        <v>250</v>
      </c>
      <c r="E5" s="5" t="s">
        <v>255</v>
      </c>
    </row>
    <row r="6" customFormat="false" ht="15" hidden="false" customHeight="false" outlineLevel="0" collapsed="false">
      <c r="A6" s="8" t="s">
        <v>256</v>
      </c>
      <c r="B6" s="25" t="n">
        <v>2</v>
      </c>
      <c r="C6" s="25" t="n">
        <v>72</v>
      </c>
      <c r="D6" s="26" t="n">
        <f aca="false">B6*C6</f>
        <v>144</v>
      </c>
      <c r="E6" s="8" t="s">
        <v>257</v>
      </c>
    </row>
    <row r="7" customFormat="false" ht="15" hidden="false" customHeight="false" outlineLevel="0" collapsed="false">
      <c r="A7" s="5" t="s">
        <v>258</v>
      </c>
      <c r="B7" s="23" t="n">
        <v>2</v>
      </c>
      <c r="C7" s="23" t="n">
        <v>15</v>
      </c>
      <c r="D7" s="24" t="n">
        <f aca="false">B7*C7</f>
        <v>30</v>
      </c>
      <c r="E7" s="5" t="s">
        <v>259</v>
      </c>
    </row>
    <row r="8" customFormat="false" ht="15" hidden="false" customHeight="false" outlineLevel="0" collapsed="false">
      <c r="A8" s="8" t="s">
        <v>260</v>
      </c>
      <c r="B8" s="25" t="n">
        <v>6</v>
      </c>
      <c r="C8" s="25" t="n">
        <v>60</v>
      </c>
      <c r="D8" s="26" t="n">
        <f aca="false">B8*C8</f>
        <v>360</v>
      </c>
      <c r="E8" s="8" t="s">
        <v>261</v>
      </c>
    </row>
    <row r="9" customFormat="false" ht="15" hidden="false" customHeight="false" outlineLevel="0" collapsed="false">
      <c r="A9" s="5" t="s">
        <v>262</v>
      </c>
      <c r="B9" s="23" t="n">
        <v>1</v>
      </c>
      <c r="C9" s="23" t="n">
        <v>10</v>
      </c>
      <c r="D9" s="24" t="n">
        <f aca="false">B9*C9</f>
        <v>10</v>
      </c>
      <c r="E9" s="5" t="s">
        <v>263</v>
      </c>
    </row>
    <row r="10" customFormat="false" ht="15" hidden="false" customHeight="false" outlineLevel="0" collapsed="false">
      <c r="A10" s="19" t="s">
        <v>264</v>
      </c>
      <c r="B10" s="27"/>
      <c r="C10" s="27"/>
      <c r="D10" s="28" t="n">
        <f aca="false">SUM(D5:D9)</f>
        <v>794</v>
      </c>
      <c r="E10" s="27"/>
    </row>
    <row r="11" customFormat="false" ht="15" hidden="false" customHeight="false" outlineLevel="0" collapsed="false">
      <c r="A11" s="19" t="s">
        <v>265</v>
      </c>
      <c r="B11" s="27"/>
      <c r="C11" s="27"/>
      <c r="D11" s="29" t="n">
        <v>2000</v>
      </c>
      <c r="E11" s="27" t="s">
        <v>266</v>
      </c>
    </row>
    <row r="12" customFormat="false" ht="15" hidden="false" customHeight="false" outlineLevel="0" collapsed="false">
      <c r="A12" s="19" t="s">
        <v>267</v>
      </c>
      <c r="B12" s="27"/>
      <c r="C12" s="27"/>
      <c r="D12" s="30" t="n">
        <f aca="false">D10/D11</f>
        <v>0.397</v>
      </c>
      <c r="E12" s="27"/>
    </row>
    <row r="13" customFormat="false" ht="15" hidden="false" customHeight="false" outlineLevel="0" collapsed="false">
      <c r="A13" s="19" t="s">
        <v>268</v>
      </c>
      <c r="B13" s="27"/>
      <c r="C13" s="27"/>
      <c r="D13" s="31" t="n">
        <v>0.2</v>
      </c>
      <c r="E13" s="27" t="s">
        <v>269</v>
      </c>
    </row>
    <row r="14" customFormat="false" ht="15" hidden="false" customHeight="false" outlineLevel="0" collapsed="false">
      <c r="A14" s="19" t="s">
        <v>270</v>
      </c>
      <c r="B14" s="27"/>
      <c r="C14" s="27"/>
      <c r="D14" s="28" t="n">
        <f aca="false">D10-D8+D8*D13</f>
        <v>506</v>
      </c>
      <c r="E14" s="27"/>
    </row>
    <row r="15" customFormat="false" ht="15" hidden="false" customHeight="false" outlineLevel="0" collapsed="false">
      <c r="A15" s="19" t="s">
        <v>271</v>
      </c>
      <c r="B15" s="27"/>
      <c r="C15" s="27"/>
      <c r="D15" s="32" t="n">
        <v>5</v>
      </c>
      <c r="E15" s="27" t="s">
        <v>272</v>
      </c>
    </row>
    <row r="16" customFormat="false" ht="15" hidden="false" customHeight="false" outlineLevel="0" collapsed="false">
      <c r="A16" s="19" t="s">
        <v>273</v>
      </c>
      <c r="B16" s="27"/>
      <c r="C16" s="27"/>
      <c r="D16" s="32" t="n">
        <v>0.4</v>
      </c>
      <c r="E16" s="27" t="s">
        <v>274</v>
      </c>
    </row>
    <row r="17" customFormat="false" ht="15" hidden="false" customHeight="false" outlineLevel="0" collapsed="false">
      <c r="A17" s="19" t="s">
        <v>275</v>
      </c>
      <c r="B17" s="27"/>
      <c r="C17" s="27"/>
      <c r="D17" s="33" t="n">
        <f aca="false">D15-D16</f>
        <v>4.6</v>
      </c>
      <c r="E17" s="27"/>
    </row>
    <row r="18" customFormat="false" ht="15" hidden="false" customHeight="false" outlineLevel="0" collapsed="false">
      <c r="A18" s="19" t="s">
        <v>276</v>
      </c>
      <c r="B18" s="27"/>
      <c r="C18" s="27"/>
      <c r="D18" s="21" t="str">
        <f aca="false">IF(D17&gt;=4.4,"Evet","HAYIR")</f>
        <v>Evet</v>
      </c>
      <c r="E18" s="27" t="s">
        <v>277</v>
      </c>
    </row>
    <row r="19" customFormat="false" ht="15" hidden="false" customHeight="false" outlineLevel="0" collapsed="false">
      <c r="A19" s="19" t="s">
        <v>278</v>
      </c>
      <c r="B19" s="27"/>
      <c r="C19" s="27"/>
      <c r="D19" s="21" t="str">
        <f aca="false">IF(AND(D17&gt;=3.5,D17&lt;=5.3),"Evet","HAYIR")</f>
        <v>Evet</v>
      </c>
      <c r="E19" s="27" t="s">
        <v>279</v>
      </c>
    </row>
    <row r="20" customFormat="false" ht="15" hidden="false" customHeight="false" outlineLevel="0" collapsed="false">
      <c r="A20" s="19" t="s">
        <v>280</v>
      </c>
      <c r="B20" s="27"/>
      <c r="C20" s="27"/>
      <c r="D20" s="21" t="str">
        <f aca="false">IF(D17&gt;=3.75,"Evet","HAYIR")</f>
        <v>Evet</v>
      </c>
      <c r="E20" s="27" t="s">
        <v>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B4" s="34" t="s">
        <v>284</v>
      </c>
    </row>
    <row r="5" customFormat="false" ht="43.5" hidden="false" customHeight="true" outlineLevel="0" collapsed="false">
      <c r="B5" s="35" t="s">
        <v>285</v>
      </c>
    </row>
    <row r="6" customFormat="false" ht="15" hidden="false" customHeight="false" outlineLevel="0" collapsed="false">
      <c r="B6" s="34" t="s">
        <v>286</v>
      </c>
    </row>
    <row r="7" customFormat="false" ht="30" hidden="false" customHeight="true" outlineLevel="0" collapsed="false">
      <c r="B7" s="36" t="s">
        <v>287</v>
      </c>
    </row>
    <row r="8" customFormat="false" ht="30" hidden="false" customHeight="true" outlineLevel="0" collapsed="false">
      <c r="B8" s="36" t="s">
        <v>288</v>
      </c>
    </row>
    <row r="9" customFormat="false" ht="30" hidden="false" customHeight="true" outlineLevel="0" collapsed="false">
      <c r="B9" s="36" t="s">
        <v>289</v>
      </c>
    </row>
    <row r="10" customFormat="false" ht="15" hidden="false" customHeight="false" outlineLevel="0" collapsed="false">
      <c r="B10" s="34" t="s">
        <v>290</v>
      </c>
    </row>
    <row r="11" customFormat="false" ht="30" hidden="false" customHeight="true" outlineLevel="0" collapsed="false">
      <c r="B11" s="36" t="s">
        <v>291</v>
      </c>
    </row>
    <row r="12" customFormat="false" ht="15" hidden="false" customHeight="false" outlineLevel="0" collapsed="false">
      <c r="B12" s="34" t="s">
        <v>292</v>
      </c>
    </row>
    <row r="13" customFormat="false" ht="30" hidden="false" customHeight="true" outlineLevel="0" collapsed="false">
      <c r="B13" s="36" t="s">
        <v>293</v>
      </c>
    </row>
    <row r="14" customFormat="false" ht="30" hidden="false" customHeight="true" outlineLevel="0" collapsed="false">
      <c r="B14" s="36" t="s">
        <v>294</v>
      </c>
    </row>
    <row r="15" customFormat="false" ht="16.5" hidden="false" customHeight="true" outlineLevel="0" collapsed="false">
      <c r="B15" s="36" t="s">
        <v>295</v>
      </c>
    </row>
    <row r="16" customFormat="false" ht="16.5" hidden="false" customHeight="true" outlineLevel="0" collapsed="false">
      <c r="B16" s="36" t="s">
        <v>296</v>
      </c>
    </row>
    <row r="17" customFormat="false" ht="15" hidden="false" customHeight="false" outlineLevel="0" collapsed="false">
      <c r="B17" s="34" t="s">
        <v>297</v>
      </c>
    </row>
    <row r="18" customFormat="false" ht="43.5" hidden="false" customHeight="true" outlineLevel="0" collapsed="false">
      <c r="B18" s="36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2026-10-28T18:55:39Z</dcterms:created>
  <dc:creator>openpyxl</dc:creator>
  <dc:description/>
  <dc:language>en-US</dc:language>
  <cp:lastModifiedBy/>
  <dcterms:modified xsi:type="dcterms:W3CDTF">2026-10-28T18:55:39Z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